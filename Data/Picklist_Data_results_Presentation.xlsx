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m 7\BTP\3D Bin Packaging\packingOptimization\CPLEX_version\"/>
    </mc:Choice>
  </mc:AlternateContent>
  <xr:revisionPtr revIDLastSave="0" documentId="13_ncr:1_{D699FDD4-8D80-49DD-B803-C857A9BD7730}" xr6:coauthVersionLast="47" xr6:coauthVersionMax="47" xr10:uidLastSave="{00000000-0000-0000-0000-000000000000}"/>
  <bookViews>
    <workbookView xWindow="-108" yWindow="-108" windowWidth="23256" windowHeight="12456" xr2:uid="{EBB6B7BB-EC60-4E1E-8DC4-2F5555F15FE6}"/>
  </bookViews>
  <sheets>
    <sheet name="Picklist_Data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1" i="1" l="1"/>
  <c r="S81" i="1"/>
  <c r="U81" i="1"/>
  <c r="X81" i="1"/>
  <c r="V81" i="1"/>
  <c r="Y81" i="1"/>
  <c r="AA81" i="1"/>
  <c r="V78" i="1"/>
  <c r="S78" i="1"/>
  <c r="U78" i="1"/>
  <c r="S77" i="1"/>
  <c r="U77" i="1"/>
  <c r="V77" i="1"/>
  <c r="Y77" i="1"/>
</calcChain>
</file>

<file path=xl/sharedStrings.xml><?xml version="1.0" encoding="utf-8"?>
<sst xmlns="http://schemas.openxmlformats.org/spreadsheetml/2006/main" count="319" uniqueCount="81">
  <si>
    <t>ID</t>
  </si>
  <si>
    <t>Status</t>
  </si>
  <si>
    <t>Picklist Barcode</t>
  </si>
  <si>
    <t>Material Barcode</t>
  </si>
  <si>
    <t>Qty</t>
  </si>
  <si>
    <t>Length</t>
  </si>
  <si>
    <t>Width</t>
  </si>
  <si>
    <t>Height</t>
  </si>
  <si>
    <t>Dimension Unit</t>
  </si>
  <si>
    <t>SKU Weight</t>
  </si>
  <si>
    <t>Volumetric Weight</t>
  </si>
  <si>
    <t>Weight Unit</t>
  </si>
  <si>
    <t>Time</t>
  </si>
  <si>
    <t>Efficiency (CPLEX Code with 0 SuperSKUs)</t>
  </si>
  <si>
    <t>Objective Function Value</t>
  </si>
  <si>
    <t>Efficiency(CPLEX with Layer_Heur)</t>
  </si>
  <si>
    <t>Efficiency(CPLEX with Peak_heur)</t>
  </si>
  <si>
    <t>Efficiency(CPLEX with Space_Heur)</t>
  </si>
  <si>
    <t>Value(Space)</t>
  </si>
  <si>
    <t>Efficiency(Space_Heur)</t>
  </si>
  <si>
    <t>Time(Space)</t>
  </si>
  <si>
    <t>Value(Layer)</t>
  </si>
  <si>
    <t>Efficiency(Layer_Heur)</t>
  </si>
  <si>
    <t>Time(Layer)</t>
  </si>
  <si>
    <t>Value(Peak)</t>
  </si>
  <si>
    <t>Efficiency(Peak_Heur)</t>
  </si>
  <si>
    <t>Time(Peak)</t>
  </si>
  <si>
    <t>Object Measured Successfully</t>
  </si>
  <si>
    <t>725-2520</t>
  </si>
  <si>
    <t>cm</t>
  </si>
  <si>
    <t>kg</t>
  </si>
  <si>
    <t>5026-1010</t>
  </si>
  <si>
    <t>Time Limit Exceeded</t>
  </si>
  <si>
    <t>2069-05</t>
  </si>
  <si>
    <t>2139-05</t>
  </si>
  <si>
    <t>2279-05</t>
  </si>
  <si>
    <t>2149p-05</t>
  </si>
  <si>
    <t>Q28585</t>
  </si>
  <si>
    <t>NA</t>
  </si>
  <si>
    <t>SP6951</t>
  </si>
  <si>
    <t>30105-204030</t>
  </si>
  <si>
    <t>6AK86W</t>
  </si>
  <si>
    <t>60180-CR20</t>
  </si>
  <si>
    <t>60180-DCR20</t>
  </si>
  <si>
    <t>CHSV20-14</t>
  </si>
  <si>
    <t>60107-312</t>
  </si>
  <si>
    <t>28205-254030</t>
  </si>
  <si>
    <t>28102-054630</t>
  </si>
  <si>
    <t>chem1</t>
  </si>
  <si>
    <t>chem2</t>
  </si>
  <si>
    <t>chem3</t>
  </si>
  <si>
    <t>chem4</t>
  </si>
  <si>
    <t>chem5</t>
  </si>
  <si>
    <t>aig-1</t>
  </si>
  <si>
    <t>aig-2</t>
  </si>
  <si>
    <t>aig-3</t>
  </si>
  <si>
    <t>aig-4</t>
  </si>
  <si>
    <t>aig-5</t>
  </si>
  <si>
    <t>AIG-2</t>
  </si>
  <si>
    <t>AIG-3</t>
  </si>
  <si>
    <t>AIG-4</t>
  </si>
  <si>
    <t>AIG-5</t>
  </si>
  <si>
    <t>ALLIED-1</t>
  </si>
  <si>
    <t>ALLIED-2</t>
  </si>
  <si>
    <t>ALLIED-3</t>
  </si>
  <si>
    <t>s703112t</t>
  </si>
  <si>
    <t>S701067</t>
  </si>
  <si>
    <t>fails</t>
  </si>
  <si>
    <t>Time Limit</t>
  </si>
  <si>
    <t>IEA72000-0001</t>
  </si>
  <si>
    <t>IEA16060-0010</t>
  </si>
  <si>
    <t>TE-8392</t>
  </si>
  <si>
    <t>45-1835-0</t>
  </si>
  <si>
    <t>TE-8666</t>
  </si>
  <si>
    <t>q21806</t>
  </si>
  <si>
    <t>q28235</t>
  </si>
  <si>
    <t>q49606</t>
  </si>
  <si>
    <t>q18404</t>
  </si>
  <si>
    <t>q21945</t>
  </si>
  <si>
    <t>q42453</t>
  </si>
  <si>
    <t>q49206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</si>
</sst>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33" borderId="0" xfId="0" applyFill="1"/>
    <xf numFmtId="11" fontId="0" fillId="33" borderId="0" xfId="0" applyNumberFormat="1" applyFill="1"/>
    <xf numFmtId="0" fontId="0" fillId="33" borderId="10" xfId="0" applyFill="1" applyBorder="1"/>
    <xf numFmtId="10" fontId="0" fillId="33" borderId="0" xfId="0" applyNumberFormat="1" applyFill="1"/>
    <xf numFmtId="10" fontId="0" fillId="33" borderId="11" xfId="0" applyNumberFormat="1" applyFill="1" applyBorder="1"/>
    <xf numFmtId="0" fontId="0" fillId="33" borderId="11" xfId="0" applyFill="1" applyBorder="1"/>
    <xf numFmtId="0" fontId="0" fillId="0" borderId="10" xfId="0" applyBorder="1"/>
    <xf numFmtId="0" fontId="0" fillId="0" borderId="11" xfId="0" applyBorder="1"/>
    <xf numFmtId="0" fontId="0" fillId="33" borderId="12" xfId="0" applyFill="1" applyBorder="1" applyAlignment="1">
      <alignment wrapText="1"/>
    </xf>
    <xf numFmtId="0" fontId="0" fillId="33" borderId="13" xfId="0" applyFill="1" applyBorder="1" applyAlignment="1">
      <alignment wrapText="1"/>
    </xf>
    <xf numFmtId="0" fontId="0" fillId="33" borderId="14" xfId="0" applyFill="1" applyBorder="1" applyAlignment="1">
      <alignment wrapText="1"/>
    </xf>
    <xf numFmtId="0" fontId="0" fillId="0" borderId="13" xfId="0" applyBorder="1" applyAlignment="1">
      <alignment wrapText="1"/>
    </xf>
    <xf numFmtId="0" fontId="14" fillId="33" borderId="10" xfId="0" applyFont="1" applyFill="1" applyBorder="1" applyAlignment="1">
      <alignment horizontal="center"/>
    </xf>
    <xf numFmtId="0" fontId="14" fillId="33" borderId="0" xfId="0" applyFont="1" applyFill="1" applyAlignment="1">
      <alignment horizontal="center"/>
    </xf>
    <xf numFmtId="0" fontId="14" fillId="33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35583-1CB9-4331-B99E-E49D1ACF7A70}">
  <dimension ref="A1:AA89"/>
  <sheetViews>
    <sheetView tabSelected="1" workbookViewId="0">
      <pane ySplit="1" topLeftCell="A75" activePane="bottomLeft" state="frozen"/>
      <selection activeCell="B1" sqref="B1"/>
      <selection pane="bottomLeft" activeCell="O53" sqref="O53"/>
    </sheetView>
  </sheetViews>
  <sheetFormatPr defaultRowHeight="14.4" x14ac:dyDescent="0.3"/>
  <cols>
    <col min="3" max="3" width="12.5546875" customWidth="1"/>
    <col min="13" max="13" width="8.88671875" style="7"/>
    <col min="18" max="18" width="8.88671875" style="8"/>
    <col min="19" max="19" width="13.109375" style="7" bestFit="1" customWidth="1"/>
    <col min="21" max="21" width="8.88671875" style="8"/>
    <col min="22" max="22" width="13.109375" style="7" bestFit="1" customWidth="1"/>
    <col min="24" max="24" width="13.109375" style="8" bestFit="1" customWidth="1"/>
    <col min="25" max="25" width="13.109375" style="7" bestFit="1" customWidth="1"/>
    <col min="27" max="27" width="8.88671875" style="8"/>
  </cols>
  <sheetData>
    <row r="1" spans="1:27" s="12" customFormat="1" ht="86.4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9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1" t="s">
        <v>17</v>
      </c>
      <c r="S1" s="9" t="s">
        <v>18</v>
      </c>
      <c r="T1" s="10" t="s">
        <v>19</v>
      </c>
      <c r="U1" s="11" t="s">
        <v>20</v>
      </c>
      <c r="V1" s="9" t="s">
        <v>21</v>
      </c>
      <c r="W1" s="10" t="s">
        <v>22</v>
      </c>
      <c r="X1" s="11" t="s">
        <v>23</v>
      </c>
      <c r="Y1" s="9" t="s">
        <v>24</v>
      </c>
      <c r="Z1" s="10" t="s">
        <v>25</v>
      </c>
      <c r="AA1" s="11" t="s">
        <v>26</v>
      </c>
    </row>
    <row r="2" spans="1:27" x14ac:dyDescent="0.3">
      <c r="A2" s="1">
        <v>5239</v>
      </c>
      <c r="B2" s="1" t="s">
        <v>27</v>
      </c>
      <c r="C2" s="1">
        <v>809090896</v>
      </c>
      <c r="D2" s="1" t="s">
        <v>28</v>
      </c>
      <c r="E2" s="1">
        <v>1</v>
      </c>
      <c r="F2" s="1">
        <v>18</v>
      </c>
      <c r="G2" s="1">
        <v>15</v>
      </c>
      <c r="H2" s="1">
        <v>11.5</v>
      </c>
      <c r="I2" s="1" t="s">
        <v>29</v>
      </c>
      <c r="J2" s="1">
        <v>0.3</v>
      </c>
      <c r="K2" s="1">
        <v>0.621</v>
      </c>
      <c r="L2" s="1" t="s">
        <v>30</v>
      </c>
      <c r="M2" s="3">
        <v>0.33</v>
      </c>
      <c r="N2" s="4">
        <v>0.39290000000000003</v>
      </c>
      <c r="O2" s="1">
        <v>4797.75</v>
      </c>
      <c r="P2" s="4">
        <v>0.39290000000000003</v>
      </c>
      <c r="Q2" s="4">
        <v>0.39290000000000003</v>
      </c>
      <c r="R2" s="5">
        <v>0.39290000000000003</v>
      </c>
      <c r="S2" s="3">
        <v>240078</v>
      </c>
      <c r="T2" s="4">
        <v>1.2200000000000001E-2</v>
      </c>
      <c r="U2" s="6">
        <v>0.10299999999999999</v>
      </c>
      <c r="V2" s="3">
        <v>239943</v>
      </c>
      <c r="W2" s="4">
        <v>1.2800000000000001E-2</v>
      </c>
      <c r="X2" s="6">
        <v>8.6999999999999994E-2</v>
      </c>
      <c r="Y2" s="3">
        <v>240078</v>
      </c>
      <c r="Z2" s="4">
        <v>1.2200000000000001E-2</v>
      </c>
      <c r="AA2" s="6">
        <v>8.6999999999999994E-2</v>
      </c>
    </row>
    <row r="3" spans="1:27" x14ac:dyDescent="0.3">
      <c r="A3" s="1">
        <v>5238</v>
      </c>
      <c r="B3" s="1" t="s">
        <v>27</v>
      </c>
      <c r="C3" s="1">
        <v>809079460</v>
      </c>
      <c r="D3" s="1" t="s">
        <v>31</v>
      </c>
      <c r="E3" s="1">
        <v>1</v>
      </c>
      <c r="F3" s="1">
        <v>27</v>
      </c>
      <c r="G3" s="1">
        <v>27</v>
      </c>
      <c r="H3" s="1">
        <v>16</v>
      </c>
      <c r="I3" s="1" t="s">
        <v>29</v>
      </c>
      <c r="J3" s="1">
        <v>2</v>
      </c>
      <c r="K3" s="1">
        <v>2.3328000000000002</v>
      </c>
      <c r="L3" s="1" t="s">
        <v>30</v>
      </c>
      <c r="M3" s="13" t="s">
        <v>67</v>
      </c>
      <c r="N3" s="14"/>
      <c r="O3" s="14"/>
      <c r="P3" s="14"/>
      <c r="Q3" s="14"/>
      <c r="R3" s="15"/>
      <c r="S3" s="3">
        <v>394904</v>
      </c>
      <c r="T3" s="4">
        <v>0.18759999999999999</v>
      </c>
      <c r="U3" s="6">
        <v>0.158</v>
      </c>
      <c r="V3" s="3">
        <v>648528</v>
      </c>
      <c r="W3" s="4">
        <v>0.1106</v>
      </c>
      <c r="X3" s="6">
        <v>9.1999999999999998E-2</v>
      </c>
      <c r="Y3" s="3">
        <v>174096</v>
      </c>
      <c r="Z3" s="4">
        <v>0.28370000000000001</v>
      </c>
      <c r="AA3" s="6">
        <v>9.6000000000000002E-2</v>
      </c>
    </row>
    <row r="4" spans="1:27" x14ac:dyDescent="0.3">
      <c r="A4" s="1">
        <v>5237</v>
      </c>
      <c r="B4" s="1" t="s">
        <v>27</v>
      </c>
      <c r="C4" s="1">
        <v>809079460</v>
      </c>
      <c r="D4" s="1" t="s">
        <v>33</v>
      </c>
      <c r="E4" s="1">
        <v>3</v>
      </c>
      <c r="F4" s="1">
        <v>34</v>
      </c>
      <c r="G4" s="1">
        <v>18</v>
      </c>
      <c r="H4" s="1">
        <v>13</v>
      </c>
      <c r="I4" s="1" t="s">
        <v>29</v>
      </c>
      <c r="J4" s="1">
        <v>1.5</v>
      </c>
      <c r="K4" s="1">
        <v>4.7736000000000001</v>
      </c>
      <c r="L4" s="1" t="s">
        <v>30</v>
      </c>
      <c r="M4" s="3"/>
      <c r="N4" s="1"/>
      <c r="O4" s="1"/>
      <c r="P4" s="1"/>
      <c r="Q4" s="1"/>
      <c r="R4" s="6"/>
      <c r="S4" s="3"/>
      <c r="T4" s="1"/>
      <c r="U4" s="6"/>
      <c r="V4" s="3"/>
      <c r="W4" s="1"/>
      <c r="X4" s="6"/>
      <c r="Y4" s="3"/>
      <c r="Z4" s="1"/>
      <c r="AA4" s="6"/>
    </row>
    <row r="5" spans="1:27" x14ac:dyDescent="0.3">
      <c r="A5" s="1">
        <v>5236</v>
      </c>
      <c r="B5" s="1" t="s">
        <v>27</v>
      </c>
      <c r="C5" s="1">
        <v>809079460</v>
      </c>
      <c r="D5" s="1" t="s">
        <v>34</v>
      </c>
      <c r="E5" s="1">
        <v>2</v>
      </c>
      <c r="F5" s="1">
        <v>20</v>
      </c>
      <c r="G5" s="1">
        <v>17</v>
      </c>
      <c r="H5" s="1">
        <v>13</v>
      </c>
      <c r="I5" s="1" t="s">
        <v>29</v>
      </c>
      <c r="J5" s="1">
        <v>0.5</v>
      </c>
      <c r="K5" s="1">
        <v>1.768</v>
      </c>
      <c r="L5" s="1" t="s">
        <v>30</v>
      </c>
      <c r="M5" s="3"/>
      <c r="N5" s="1"/>
      <c r="O5" s="1"/>
      <c r="P5" s="1"/>
      <c r="Q5" s="1"/>
      <c r="R5" s="6"/>
      <c r="S5" s="3"/>
      <c r="T5" s="1"/>
      <c r="U5" s="6"/>
      <c r="V5" s="3"/>
      <c r="W5" s="1"/>
      <c r="X5" s="6"/>
      <c r="Y5" s="3"/>
      <c r="Z5" s="1"/>
      <c r="AA5" s="6"/>
    </row>
    <row r="6" spans="1:27" x14ac:dyDescent="0.3">
      <c r="A6" s="1">
        <v>5235</v>
      </c>
      <c r="B6" s="1" t="s">
        <v>27</v>
      </c>
      <c r="C6" s="1">
        <v>809079460</v>
      </c>
      <c r="D6" s="1" t="s">
        <v>35</v>
      </c>
      <c r="E6" s="1">
        <v>2</v>
      </c>
      <c r="F6" s="1">
        <v>28</v>
      </c>
      <c r="G6" s="1">
        <v>23</v>
      </c>
      <c r="H6" s="1">
        <v>20</v>
      </c>
      <c r="I6" s="1" t="s">
        <v>29</v>
      </c>
      <c r="J6" s="1">
        <v>2</v>
      </c>
      <c r="K6" s="1">
        <v>5.1520000000000001</v>
      </c>
      <c r="L6" s="1" t="s">
        <v>30</v>
      </c>
      <c r="M6" s="3"/>
      <c r="N6" s="1"/>
      <c r="O6" s="1"/>
      <c r="P6" s="1"/>
      <c r="Q6" s="1"/>
      <c r="R6" s="6"/>
      <c r="S6" s="3"/>
      <c r="T6" s="1"/>
      <c r="U6" s="6"/>
      <c r="V6" s="3"/>
      <c r="W6" s="1"/>
      <c r="X6" s="6"/>
      <c r="Y6" s="3"/>
      <c r="Z6" s="1"/>
      <c r="AA6" s="6"/>
    </row>
    <row r="7" spans="1:27" x14ac:dyDescent="0.3">
      <c r="A7" s="1">
        <v>5234</v>
      </c>
      <c r="B7" s="1" t="s">
        <v>27</v>
      </c>
      <c r="C7" s="1">
        <v>809079460</v>
      </c>
      <c r="D7" s="1" t="s">
        <v>36</v>
      </c>
      <c r="E7" s="1">
        <v>3</v>
      </c>
      <c r="F7" s="1">
        <v>30</v>
      </c>
      <c r="G7" s="1">
        <v>18</v>
      </c>
      <c r="H7" s="1">
        <v>13</v>
      </c>
      <c r="I7" s="1" t="s">
        <v>29</v>
      </c>
      <c r="J7" s="1">
        <v>1</v>
      </c>
      <c r="K7" s="1">
        <v>4.2119999999999997</v>
      </c>
      <c r="L7" s="1" t="s">
        <v>30</v>
      </c>
      <c r="M7" s="3"/>
      <c r="N7" s="1"/>
      <c r="O7" s="1"/>
      <c r="P7" s="1"/>
      <c r="Q7" s="1"/>
      <c r="R7" s="6"/>
      <c r="S7" s="3"/>
      <c r="T7" s="1"/>
      <c r="U7" s="6"/>
      <c r="V7" s="3"/>
      <c r="W7" s="1"/>
      <c r="X7" s="6"/>
      <c r="Y7" s="3"/>
      <c r="Z7" s="1"/>
      <c r="AA7" s="6"/>
    </row>
    <row r="8" spans="1:27" x14ac:dyDescent="0.3">
      <c r="A8" s="1">
        <v>5233</v>
      </c>
      <c r="B8" s="1" t="s">
        <v>27</v>
      </c>
      <c r="C8" s="1">
        <v>809094924</v>
      </c>
      <c r="D8" s="1" t="s">
        <v>37</v>
      </c>
      <c r="E8" s="1">
        <v>1</v>
      </c>
      <c r="F8" s="1">
        <v>7.5</v>
      </c>
      <c r="G8" s="1">
        <v>7.5</v>
      </c>
      <c r="H8" s="1">
        <v>21</v>
      </c>
      <c r="I8" s="1" t="s">
        <v>29</v>
      </c>
      <c r="J8" s="1">
        <v>0.7</v>
      </c>
      <c r="K8" s="1">
        <v>0.23624999999999999</v>
      </c>
      <c r="L8" s="1" t="s">
        <v>30</v>
      </c>
      <c r="M8" s="3">
        <v>2.0539999999999998</v>
      </c>
      <c r="N8" s="4">
        <v>0.3891</v>
      </c>
      <c r="O8" s="1">
        <v>9273.75</v>
      </c>
      <c r="P8" s="4">
        <v>0.3891</v>
      </c>
      <c r="Q8" s="4">
        <v>0.3891</v>
      </c>
      <c r="R8" s="5">
        <v>0.3891</v>
      </c>
      <c r="S8" s="3">
        <v>237903</v>
      </c>
      <c r="T8" s="4">
        <v>2.12E-2</v>
      </c>
      <c r="U8" s="6">
        <v>0.11899999999999999</v>
      </c>
      <c r="V8" s="3">
        <v>480189.75</v>
      </c>
      <c r="W8" s="4">
        <v>1.2200000000000001E-2</v>
      </c>
      <c r="X8" s="6">
        <v>8.7999999999999995E-2</v>
      </c>
      <c r="Y8" s="3"/>
      <c r="Z8" s="1" t="s">
        <v>38</v>
      </c>
      <c r="AA8" s="6"/>
    </row>
    <row r="9" spans="1:27" x14ac:dyDescent="0.3">
      <c r="A9" s="1">
        <v>5232</v>
      </c>
      <c r="B9" s="1" t="s">
        <v>27</v>
      </c>
      <c r="C9" s="1">
        <v>809094924</v>
      </c>
      <c r="D9" s="1" t="s">
        <v>37</v>
      </c>
      <c r="E9" s="1">
        <v>4</v>
      </c>
      <c r="F9" s="1">
        <v>7.5</v>
      </c>
      <c r="G9" s="1">
        <v>7.5</v>
      </c>
      <c r="H9" s="1">
        <v>21</v>
      </c>
      <c r="I9" s="1" t="s">
        <v>29</v>
      </c>
      <c r="J9" s="1">
        <v>0.7</v>
      </c>
      <c r="K9" s="1">
        <v>0.94499999999999995</v>
      </c>
      <c r="L9" s="1" t="s">
        <v>30</v>
      </c>
      <c r="M9" s="3"/>
      <c r="N9" s="1"/>
      <c r="O9" s="1"/>
      <c r="P9" s="1"/>
      <c r="Q9" s="1"/>
      <c r="R9" s="6"/>
      <c r="S9" s="3"/>
      <c r="T9" s="1"/>
      <c r="U9" s="6"/>
      <c r="V9" s="3"/>
      <c r="W9" s="1"/>
      <c r="X9" s="6"/>
      <c r="Y9" s="3"/>
      <c r="Z9" s="1"/>
      <c r="AA9" s="6"/>
    </row>
    <row r="10" spans="1:27" x14ac:dyDescent="0.3">
      <c r="A10" s="1">
        <v>5231</v>
      </c>
      <c r="B10" s="1" t="s">
        <v>27</v>
      </c>
      <c r="C10" s="1">
        <v>809093815</v>
      </c>
      <c r="D10" s="1">
        <v>44124</v>
      </c>
      <c r="E10" s="1">
        <v>2</v>
      </c>
      <c r="F10" s="1">
        <v>16</v>
      </c>
      <c r="G10" s="1">
        <v>13</v>
      </c>
      <c r="H10" s="1">
        <v>4</v>
      </c>
      <c r="I10" s="1" t="s">
        <v>29</v>
      </c>
      <c r="J10" s="1">
        <v>0.2</v>
      </c>
      <c r="K10" s="1">
        <v>0.33279999999999998</v>
      </c>
      <c r="L10" s="1" t="s">
        <v>30</v>
      </c>
      <c r="M10" s="3">
        <v>2.004</v>
      </c>
      <c r="N10" s="4">
        <v>0.375</v>
      </c>
      <c r="O10" s="1">
        <v>11657.5</v>
      </c>
      <c r="P10" s="1" t="s">
        <v>32</v>
      </c>
      <c r="Q10" s="4">
        <v>0.375</v>
      </c>
      <c r="R10" s="5">
        <v>0.375</v>
      </c>
      <c r="S10" s="3">
        <v>236054</v>
      </c>
      <c r="T10" s="4">
        <v>2.8799999999999999E-2</v>
      </c>
      <c r="U10" s="6">
        <v>0.122</v>
      </c>
      <c r="V10" s="3">
        <v>481104</v>
      </c>
      <c r="W10" s="4">
        <v>1.03E-2</v>
      </c>
      <c r="X10" s="6">
        <v>8.7999999999999995E-2</v>
      </c>
      <c r="Y10" s="3">
        <v>238056</v>
      </c>
      <c r="Z10" s="4">
        <v>2.0500000000000001E-2</v>
      </c>
      <c r="AA10" s="6">
        <v>8.7999999999999995E-2</v>
      </c>
    </row>
    <row r="11" spans="1:27" x14ac:dyDescent="0.3">
      <c r="A11" s="1">
        <v>5230</v>
      </c>
      <c r="B11" s="1" t="s">
        <v>27</v>
      </c>
      <c r="C11" s="1">
        <v>809093815</v>
      </c>
      <c r="D11" s="1">
        <v>44123</v>
      </c>
      <c r="E11" s="1">
        <v>2</v>
      </c>
      <c r="F11" s="1">
        <v>32</v>
      </c>
      <c r="G11" s="1">
        <v>13</v>
      </c>
      <c r="H11" s="1">
        <v>4</v>
      </c>
      <c r="I11" s="1" t="s">
        <v>29</v>
      </c>
      <c r="J11" s="1">
        <v>0.3</v>
      </c>
      <c r="K11" s="1">
        <v>0.66559999999999997</v>
      </c>
      <c r="L11" s="1" t="s">
        <v>30</v>
      </c>
      <c r="M11" s="3"/>
      <c r="N11" s="1"/>
      <c r="O11" s="1"/>
      <c r="P11" s="1"/>
      <c r="Q11" s="1"/>
      <c r="R11" s="6"/>
      <c r="S11" s="3"/>
      <c r="T11" s="1"/>
      <c r="U11" s="6"/>
      <c r="V11" s="3"/>
      <c r="W11" s="1"/>
      <c r="X11" s="6"/>
      <c r="Y11" s="3"/>
      <c r="Z11" s="1"/>
      <c r="AA11" s="6"/>
    </row>
    <row r="12" spans="1:27" x14ac:dyDescent="0.3">
      <c r="A12" s="1">
        <v>5228</v>
      </c>
      <c r="B12" s="1" t="s">
        <v>27</v>
      </c>
      <c r="C12" s="1">
        <v>809093815</v>
      </c>
      <c r="D12" s="1" t="s">
        <v>39</v>
      </c>
      <c r="E12" s="1">
        <v>1</v>
      </c>
      <c r="F12" s="1">
        <v>22</v>
      </c>
      <c r="G12" s="1">
        <v>13</v>
      </c>
      <c r="H12" s="1">
        <v>7</v>
      </c>
      <c r="I12" s="1" t="s">
        <v>29</v>
      </c>
      <c r="J12" s="1">
        <v>0.6</v>
      </c>
      <c r="K12" s="1">
        <v>0.40039999999999998</v>
      </c>
      <c r="L12" s="1" t="s">
        <v>30</v>
      </c>
      <c r="M12" s="3"/>
      <c r="N12" s="1"/>
      <c r="O12" s="1"/>
      <c r="P12" s="1"/>
      <c r="Q12" s="1"/>
      <c r="R12" s="6"/>
      <c r="S12" s="3"/>
      <c r="T12" s="1"/>
      <c r="U12" s="6"/>
      <c r="V12" s="3"/>
      <c r="W12" s="1"/>
      <c r="X12" s="6"/>
      <c r="Y12" s="3"/>
      <c r="Z12" s="1"/>
      <c r="AA12" s="6"/>
    </row>
    <row r="13" spans="1:27" x14ac:dyDescent="0.3">
      <c r="A13" s="1">
        <v>5227</v>
      </c>
      <c r="B13" s="1" t="s">
        <v>27</v>
      </c>
      <c r="C13" s="1">
        <v>809094978</v>
      </c>
      <c r="D13" s="1" t="s">
        <v>40</v>
      </c>
      <c r="E13" s="1">
        <v>1</v>
      </c>
      <c r="F13" s="1">
        <v>42</v>
      </c>
      <c r="G13" s="1">
        <v>5</v>
      </c>
      <c r="H13" s="1">
        <v>3</v>
      </c>
      <c r="I13" s="1" t="s">
        <v>29</v>
      </c>
      <c r="J13" s="1">
        <v>0.15</v>
      </c>
      <c r="K13" s="1">
        <v>0.126</v>
      </c>
      <c r="L13" s="1" t="s">
        <v>30</v>
      </c>
      <c r="M13" s="3">
        <v>0.36</v>
      </c>
      <c r="N13" s="4">
        <v>2.4299999999999999E-2</v>
      </c>
      <c r="O13" s="1">
        <v>25290</v>
      </c>
      <c r="P13" s="1" t="s">
        <v>32</v>
      </c>
      <c r="Q13" s="4">
        <v>2.4299999999999999E-2</v>
      </c>
      <c r="R13" s="5">
        <v>2.4299999999999999E-2</v>
      </c>
      <c r="S13" s="3">
        <v>242418</v>
      </c>
      <c r="T13" s="4">
        <v>2.5999999999999999E-3</v>
      </c>
      <c r="U13" s="6">
        <v>0.108</v>
      </c>
      <c r="V13" s="3">
        <v>242418</v>
      </c>
      <c r="W13" s="4">
        <v>2.5999999999999999E-3</v>
      </c>
      <c r="X13" s="6">
        <v>8.5999999999999993E-2</v>
      </c>
      <c r="Y13" s="3">
        <v>242418</v>
      </c>
      <c r="Z13" s="4">
        <v>2.5999999999999999E-3</v>
      </c>
      <c r="AA13" s="6">
        <v>8.5999999999999993E-2</v>
      </c>
    </row>
    <row r="14" spans="1:27" x14ac:dyDescent="0.3">
      <c r="A14" s="1">
        <v>5226</v>
      </c>
      <c r="B14" s="1" t="s">
        <v>27</v>
      </c>
      <c r="C14" s="1">
        <v>809094966</v>
      </c>
      <c r="D14" s="1">
        <v>74625</v>
      </c>
      <c r="E14" s="1">
        <v>1</v>
      </c>
      <c r="F14" s="1">
        <v>32</v>
      </c>
      <c r="G14" s="1">
        <v>13</v>
      </c>
      <c r="H14" s="1">
        <v>4</v>
      </c>
      <c r="I14" s="1" t="s">
        <v>29</v>
      </c>
      <c r="J14" s="1">
        <v>0.15</v>
      </c>
      <c r="K14" s="1">
        <v>0.33279999999999998</v>
      </c>
      <c r="L14" s="1" t="s">
        <v>30</v>
      </c>
      <c r="M14" s="3">
        <v>0.3</v>
      </c>
      <c r="N14" s="4">
        <v>8.9200000000000002E-2</v>
      </c>
      <c r="O14" s="1">
        <v>16987.5</v>
      </c>
      <c r="P14" s="1" t="s">
        <v>32</v>
      </c>
      <c r="Q14" s="4">
        <v>8.9200000000000002E-2</v>
      </c>
      <c r="R14" s="5">
        <v>8.9200000000000002E-2</v>
      </c>
      <c r="S14" s="3">
        <v>241387</v>
      </c>
      <c r="T14" s="4">
        <v>6.8999999999999999E-3</v>
      </c>
      <c r="U14" s="6">
        <v>0.106</v>
      </c>
      <c r="V14" s="3">
        <v>241384</v>
      </c>
      <c r="W14" s="4">
        <v>6.8999999999999999E-3</v>
      </c>
      <c r="X14" s="6">
        <v>8.5999999999999993E-2</v>
      </c>
      <c r="Y14" s="3">
        <v>241384</v>
      </c>
      <c r="Z14" s="4">
        <v>6.7999999999999996E-3</v>
      </c>
      <c r="AA14" s="6">
        <v>8.5999999999999993E-2</v>
      </c>
    </row>
    <row r="15" spans="1:27" x14ac:dyDescent="0.3">
      <c r="A15" s="1">
        <v>5225</v>
      </c>
      <c r="B15" s="1" t="s">
        <v>27</v>
      </c>
      <c r="C15" s="1">
        <v>809099056</v>
      </c>
      <c r="D15" s="1" t="s">
        <v>41</v>
      </c>
      <c r="E15" s="1">
        <v>4</v>
      </c>
      <c r="F15" s="1">
        <v>22</v>
      </c>
      <c r="G15" s="1">
        <v>14</v>
      </c>
      <c r="H15" s="1">
        <v>5</v>
      </c>
      <c r="I15" s="1" t="s">
        <v>29</v>
      </c>
      <c r="J15" s="1">
        <v>1.2</v>
      </c>
      <c r="K15" s="1">
        <v>1.232</v>
      </c>
      <c r="L15" s="1" t="s">
        <v>30</v>
      </c>
      <c r="M15" s="3"/>
      <c r="N15" s="1"/>
      <c r="O15" s="1"/>
      <c r="P15" s="1"/>
      <c r="Q15" s="1"/>
      <c r="R15" s="6"/>
      <c r="S15" s="3"/>
      <c r="T15" s="1"/>
      <c r="U15" s="6"/>
      <c r="V15" s="3"/>
      <c r="W15" s="1"/>
      <c r="X15" s="6"/>
      <c r="Y15" s="3"/>
      <c r="Z15" s="1"/>
      <c r="AA15" s="6"/>
    </row>
    <row r="16" spans="1:27" x14ac:dyDescent="0.3">
      <c r="A16" s="1">
        <v>5224</v>
      </c>
      <c r="B16" s="1" t="s">
        <v>27</v>
      </c>
      <c r="C16" s="1">
        <v>809099056</v>
      </c>
      <c r="D16" s="1" t="s">
        <v>42</v>
      </c>
      <c r="E16" s="1">
        <v>1</v>
      </c>
      <c r="F16" s="1">
        <v>24</v>
      </c>
      <c r="G16" s="1">
        <v>13</v>
      </c>
      <c r="H16" s="1">
        <v>5</v>
      </c>
      <c r="I16" s="1" t="s">
        <v>29</v>
      </c>
      <c r="J16" s="1">
        <v>0.55000000000000004</v>
      </c>
      <c r="K16" s="1">
        <v>0.312</v>
      </c>
      <c r="L16" s="1" t="s">
        <v>30</v>
      </c>
      <c r="M16" s="3"/>
      <c r="N16" s="1"/>
      <c r="O16" s="1"/>
      <c r="P16" s="1"/>
      <c r="Q16" s="1"/>
      <c r="R16" s="6"/>
      <c r="S16" s="3"/>
      <c r="T16" s="1"/>
      <c r="U16" s="6"/>
      <c r="V16" s="3"/>
      <c r="W16" s="1"/>
      <c r="X16" s="6"/>
      <c r="Y16" s="3"/>
      <c r="Z16" s="1"/>
      <c r="AA16" s="6"/>
    </row>
    <row r="17" spans="1:27" x14ac:dyDescent="0.3">
      <c r="A17" s="1">
        <v>5223</v>
      </c>
      <c r="B17" s="1" t="s">
        <v>27</v>
      </c>
      <c r="C17" s="1">
        <v>809099056</v>
      </c>
      <c r="D17" s="1" t="s">
        <v>43</v>
      </c>
      <c r="E17" s="1">
        <v>1</v>
      </c>
      <c r="F17" s="1">
        <v>24</v>
      </c>
      <c r="G17" s="1">
        <v>13</v>
      </c>
      <c r="H17" s="1">
        <v>5</v>
      </c>
      <c r="I17" s="1" t="s">
        <v>29</v>
      </c>
      <c r="J17" s="1">
        <v>0.55000000000000004</v>
      </c>
      <c r="K17" s="1">
        <v>0.312</v>
      </c>
      <c r="L17" s="1" t="s">
        <v>30</v>
      </c>
      <c r="M17" s="3"/>
      <c r="N17" s="1"/>
      <c r="O17" s="1"/>
      <c r="P17" s="1"/>
      <c r="Q17" s="1"/>
      <c r="R17" s="6"/>
      <c r="S17" s="3"/>
      <c r="T17" s="1"/>
      <c r="U17" s="6"/>
      <c r="V17" s="3"/>
      <c r="W17" s="1"/>
      <c r="X17" s="6"/>
      <c r="Y17" s="3"/>
      <c r="Z17" s="1"/>
      <c r="AA17" s="6"/>
    </row>
    <row r="18" spans="1:27" x14ac:dyDescent="0.3">
      <c r="A18" s="1">
        <v>5222</v>
      </c>
      <c r="B18" s="1" t="s">
        <v>27</v>
      </c>
      <c r="C18" s="1">
        <v>809099056</v>
      </c>
      <c r="D18" s="1" t="s">
        <v>44</v>
      </c>
      <c r="E18" s="1">
        <v>4</v>
      </c>
      <c r="F18" s="1">
        <v>26</v>
      </c>
      <c r="G18" s="1">
        <v>21</v>
      </c>
      <c r="H18" s="1">
        <v>8</v>
      </c>
      <c r="I18" s="1" t="s">
        <v>29</v>
      </c>
      <c r="J18" s="1">
        <v>6.8</v>
      </c>
      <c r="K18" s="1">
        <v>3.4944000000000002</v>
      </c>
      <c r="L18" s="1" t="s">
        <v>30</v>
      </c>
      <c r="M18" s="3"/>
      <c r="N18" s="1"/>
      <c r="O18" s="1"/>
      <c r="P18" s="1"/>
      <c r="Q18" s="1"/>
      <c r="R18" s="6"/>
      <c r="S18" s="3"/>
      <c r="T18" s="1"/>
      <c r="U18" s="6"/>
      <c r="V18" s="3"/>
      <c r="W18" s="1"/>
      <c r="X18" s="6"/>
      <c r="Y18" s="3"/>
      <c r="Z18" s="1"/>
      <c r="AA18" s="6"/>
    </row>
    <row r="19" spans="1:27" x14ac:dyDescent="0.3">
      <c r="A19" s="1">
        <v>5221</v>
      </c>
      <c r="B19" s="1" t="s">
        <v>27</v>
      </c>
      <c r="C19" s="1">
        <v>809098706</v>
      </c>
      <c r="D19" s="1" t="s">
        <v>45</v>
      </c>
      <c r="E19" s="1">
        <v>1</v>
      </c>
      <c r="F19" s="1">
        <v>15</v>
      </c>
      <c r="G19" s="1">
        <v>15</v>
      </c>
      <c r="H19" s="1">
        <v>10</v>
      </c>
      <c r="I19" s="1" t="s">
        <v>29</v>
      </c>
      <c r="J19" s="1">
        <v>0.15</v>
      </c>
      <c r="K19" s="1">
        <v>0.45</v>
      </c>
      <c r="L19" s="1" t="s">
        <v>30</v>
      </c>
      <c r="M19" s="3">
        <v>1.04</v>
      </c>
      <c r="N19" s="4">
        <v>0.13539999999999999</v>
      </c>
      <c r="O19" s="1">
        <v>22410</v>
      </c>
      <c r="P19" s="1" t="s">
        <v>32</v>
      </c>
      <c r="Q19" s="4">
        <v>0.13539999999999999</v>
      </c>
      <c r="R19" s="5">
        <v>0.13539999999999999</v>
      </c>
      <c r="S19" s="3">
        <v>239538</v>
      </c>
      <c r="T19" s="4">
        <v>1.44E-2</v>
      </c>
      <c r="U19" s="6">
        <v>0.11899999999999999</v>
      </c>
      <c r="V19" s="3">
        <v>482586</v>
      </c>
      <c r="W19" s="4">
        <v>7.1999999999999998E-3</v>
      </c>
      <c r="X19" s="6">
        <v>8.7999999999999995E-2</v>
      </c>
      <c r="Y19" s="3">
        <v>239538</v>
      </c>
      <c r="Z19" s="4">
        <v>1.44E-2</v>
      </c>
      <c r="AA19" s="6">
        <v>8.6999999999999994E-2</v>
      </c>
    </row>
    <row r="20" spans="1:27" x14ac:dyDescent="0.3">
      <c r="A20" s="1">
        <v>5220</v>
      </c>
      <c r="B20" s="1" t="s">
        <v>27</v>
      </c>
      <c r="C20" s="1">
        <v>809098706</v>
      </c>
      <c r="D20" s="1" t="s">
        <v>46</v>
      </c>
      <c r="E20" s="1">
        <v>1</v>
      </c>
      <c r="F20" s="1">
        <v>42</v>
      </c>
      <c r="G20" s="1">
        <v>5</v>
      </c>
      <c r="H20" s="1">
        <v>3</v>
      </c>
      <c r="I20" s="1" t="s">
        <v>29</v>
      </c>
      <c r="J20" s="1">
        <v>0.15</v>
      </c>
      <c r="K20" s="1">
        <v>0.126</v>
      </c>
      <c r="L20" s="1" t="s">
        <v>30</v>
      </c>
      <c r="M20" s="3"/>
      <c r="N20" s="1"/>
      <c r="O20" s="1"/>
      <c r="P20" s="1"/>
      <c r="Q20" s="1"/>
      <c r="R20" s="6"/>
      <c r="S20" s="3"/>
      <c r="T20" s="1"/>
      <c r="U20" s="6"/>
      <c r="V20" s="3"/>
      <c r="W20" s="1"/>
      <c r="X20" s="6"/>
      <c r="Y20" s="3"/>
      <c r="Z20" s="1"/>
      <c r="AA20" s="6"/>
    </row>
    <row r="21" spans="1:27" x14ac:dyDescent="0.3">
      <c r="A21" s="1">
        <v>5219</v>
      </c>
      <c r="B21" s="1" t="s">
        <v>27</v>
      </c>
      <c r="C21" s="1">
        <v>809098706</v>
      </c>
      <c r="D21" s="1" t="s">
        <v>47</v>
      </c>
      <c r="E21" s="1">
        <v>2</v>
      </c>
      <c r="F21" s="1">
        <v>21</v>
      </c>
      <c r="G21" s="1">
        <v>5</v>
      </c>
      <c r="H21" s="1">
        <v>3</v>
      </c>
      <c r="I21" s="1" t="s">
        <v>29</v>
      </c>
      <c r="J21" s="1">
        <v>0.2</v>
      </c>
      <c r="K21" s="1">
        <v>0.126</v>
      </c>
      <c r="L21" s="1" t="s">
        <v>30</v>
      </c>
      <c r="M21" s="3"/>
      <c r="N21" s="1"/>
      <c r="O21" s="1"/>
      <c r="P21" s="1"/>
      <c r="Q21" s="1"/>
      <c r="R21" s="6"/>
      <c r="S21" s="3"/>
      <c r="T21" s="1"/>
      <c r="U21" s="6"/>
      <c r="V21" s="3"/>
      <c r="W21" s="1"/>
      <c r="X21" s="6"/>
      <c r="Y21" s="3"/>
      <c r="Z21" s="1"/>
      <c r="AA21" s="6"/>
    </row>
    <row r="22" spans="1:27" x14ac:dyDescent="0.3">
      <c r="A22" s="1">
        <v>5218</v>
      </c>
      <c r="B22" s="1" t="s">
        <v>27</v>
      </c>
      <c r="C22" s="1">
        <v>809103772</v>
      </c>
      <c r="D22" s="2">
        <v>420000000000</v>
      </c>
      <c r="E22" s="1">
        <v>1</v>
      </c>
      <c r="F22" s="1">
        <v>22</v>
      </c>
      <c r="G22" s="1">
        <v>17</v>
      </c>
      <c r="H22" s="1">
        <v>7</v>
      </c>
      <c r="I22" s="1" t="s">
        <v>29</v>
      </c>
      <c r="J22" s="1">
        <v>0.25</v>
      </c>
      <c r="K22" s="1">
        <v>0.52359999999999995</v>
      </c>
      <c r="L22" s="1" t="s">
        <v>30</v>
      </c>
      <c r="M22" s="3">
        <v>2.1360000000000001</v>
      </c>
      <c r="N22" s="4">
        <v>0.84379999999999999</v>
      </c>
      <c r="O22" s="1">
        <v>4401</v>
      </c>
      <c r="P22" s="4">
        <v>0.84379999999999999</v>
      </c>
      <c r="Q22" s="4">
        <v>0.84379999999999999</v>
      </c>
      <c r="R22" s="5">
        <v>0.84379999999999999</v>
      </c>
      <c r="S22" s="3">
        <v>219274</v>
      </c>
      <c r="T22" s="4">
        <v>9.7799999999999998E-2</v>
      </c>
      <c r="U22" s="6">
        <v>0.11899999999999999</v>
      </c>
      <c r="V22" s="3">
        <v>462322</v>
      </c>
      <c r="W22" s="4">
        <v>4.8899999999999999E-2</v>
      </c>
      <c r="X22" s="6">
        <v>8.7999999999999995E-2</v>
      </c>
      <c r="Y22" s="3">
        <v>219274</v>
      </c>
      <c r="Z22" s="4">
        <v>9.7799999999999998E-2</v>
      </c>
      <c r="AA22" s="6">
        <v>8.8999999999999996E-2</v>
      </c>
    </row>
    <row r="23" spans="1:27" x14ac:dyDescent="0.3">
      <c r="A23" s="1">
        <v>5217</v>
      </c>
      <c r="B23" s="1" t="s">
        <v>27</v>
      </c>
      <c r="C23" s="1">
        <v>809103772</v>
      </c>
      <c r="D23" s="2">
        <v>420000000000</v>
      </c>
      <c r="E23" s="1">
        <v>1</v>
      </c>
      <c r="F23" s="1">
        <v>22</v>
      </c>
      <c r="G23" s="1">
        <v>17</v>
      </c>
      <c r="H23" s="1">
        <v>7</v>
      </c>
      <c r="I23" s="1" t="s">
        <v>29</v>
      </c>
      <c r="J23" s="1">
        <v>0.5</v>
      </c>
      <c r="K23" s="1">
        <v>0.52359999999999995</v>
      </c>
      <c r="L23" s="1" t="s">
        <v>30</v>
      </c>
      <c r="M23" s="3"/>
      <c r="N23" s="1"/>
      <c r="O23" s="1"/>
      <c r="P23" s="1"/>
      <c r="Q23" s="1"/>
      <c r="R23" s="6"/>
      <c r="S23" s="3"/>
      <c r="T23" s="1"/>
      <c r="U23" s="6"/>
      <c r="V23" s="3"/>
      <c r="W23" s="1"/>
      <c r="X23" s="6"/>
      <c r="Y23" s="3"/>
      <c r="Z23" s="1"/>
      <c r="AA23" s="6"/>
    </row>
    <row r="24" spans="1:27" x14ac:dyDescent="0.3">
      <c r="A24" s="1">
        <v>5216</v>
      </c>
      <c r="B24" s="1" t="s">
        <v>27</v>
      </c>
      <c r="C24" s="1">
        <v>809103772</v>
      </c>
      <c r="D24" s="2">
        <v>420000000000</v>
      </c>
      <c r="E24" s="1">
        <v>1</v>
      </c>
      <c r="F24" s="1">
        <v>31</v>
      </c>
      <c r="G24" s="1">
        <v>23</v>
      </c>
      <c r="H24" s="1">
        <v>13</v>
      </c>
      <c r="I24" s="1" t="s">
        <v>29</v>
      </c>
      <c r="J24" s="1">
        <v>0.7</v>
      </c>
      <c r="K24" s="1">
        <v>1.8537999999999999</v>
      </c>
      <c r="L24" s="1" t="s">
        <v>30</v>
      </c>
      <c r="M24" s="3"/>
      <c r="N24" s="1"/>
      <c r="O24" s="1"/>
      <c r="P24" s="1"/>
      <c r="Q24" s="1"/>
      <c r="R24" s="6"/>
      <c r="S24" s="3"/>
      <c r="T24" s="1"/>
      <c r="U24" s="6"/>
      <c r="V24" s="3"/>
      <c r="W24" s="1"/>
      <c r="X24" s="6"/>
      <c r="Y24" s="3"/>
      <c r="Z24" s="1"/>
      <c r="AA24" s="6"/>
    </row>
    <row r="25" spans="1:27" x14ac:dyDescent="0.3">
      <c r="A25" s="1">
        <v>5215</v>
      </c>
      <c r="B25" s="1" t="s">
        <v>27</v>
      </c>
      <c r="C25" s="1">
        <v>809103772</v>
      </c>
      <c r="D25" s="2">
        <v>420000000000</v>
      </c>
      <c r="E25" s="1">
        <v>1</v>
      </c>
      <c r="F25" s="1">
        <v>31</v>
      </c>
      <c r="G25" s="1">
        <v>23</v>
      </c>
      <c r="H25" s="1">
        <v>13</v>
      </c>
      <c r="I25" s="1" t="s">
        <v>29</v>
      </c>
      <c r="J25" s="1">
        <v>0.55000000000000004</v>
      </c>
      <c r="K25" s="1">
        <v>1.8537999999999999</v>
      </c>
      <c r="L25" s="1" t="s">
        <v>30</v>
      </c>
      <c r="M25" s="3"/>
      <c r="N25" s="1"/>
      <c r="O25" s="1"/>
      <c r="P25" s="1"/>
      <c r="Q25" s="1"/>
      <c r="R25" s="6"/>
      <c r="S25" s="3"/>
      <c r="T25" s="1"/>
      <c r="U25" s="6"/>
      <c r="V25" s="3"/>
      <c r="W25" s="1"/>
      <c r="X25" s="6"/>
      <c r="Y25" s="3"/>
      <c r="Z25" s="1"/>
      <c r="AA25" s="6"/>
    </row>
    <row r="26" spans="1:27" x14ac:dyDescent="0.3">
      <c r="A26" s="1">
        <v>5214</v>
      </c>
      <c r="B26" s="1" t="s">
        <v>27</v>
      </c>
      <c r="C26" s="1" t="s">
        <v>48</v>
      </c>
      <c r="D26" s="1">
        <v>1</v>
      </c>
      <c r="E26" s="1">
        <v>1</v>
      </c>
      <c r="F26" s="1">
        <v>16</v>
      </c>
      <c r="G26" s="1">
        <v>9</v>
      </c>
      <c r="H26" s="1">
        <v>9</v>
      </c>
      <c r="I26" s="1" t="s">
        <v>29</v>
      </c>
      <c r="J26" s="1">
        <v>0.55000000000000004</v>
      </c>
      <c r="K26" s="1">
        <v>0.25919999999999999</v>
      </c>
      <c r="L26" s="1" t="s">
        <v>30</v>
      </c>
      <c r="M26" s="3">
        <v>0.28399999999999997</v>
      </c>
      <c r="N26" s="4">
        <v>0.16400000000000001</v>
      </c>
      <c r="O26" s="1">
        <v>6606.75</v>
      </c>
      <c r="P26" s="4">
        <v>0.16400000000000001</v>
      </c>
      <c r="Q26" s="4">
        <v>0.16400000000000001</v>
      </c>
      <c r="R26" s="5">
        <v>0.16400000000000001</v>
      </c>
      <c r="S26" s="3">
        <v>2417.52</v>
      </c>
      <c r="T26" s="4">
        <v>5.3E-3</v>
      </c>
      <c r="U26" s="6">
        <v>0.104</v>
      </c>
      <c r="V26" s="3">
        <v>2417.52</v>
      </c>
      <c r="W26" s="4">
        <v>5.3E-3</v>
      </c>
      <c r="X26" s="6">
        <v>8.6999999999999994E-2</v>
      </c>
      <c r="Y26" s="3">
        <v>2417.52</v>
      </c>
      <c r="Z26" s="4">
        <v>5.3E-3</v>
      </c>
      <c r="AA26" s="6">
        <v>8.6999999999999994E-2</v>
      </c>
    </row>
    <row r="27" spans="1:27" x14ac:dyDescent="0.3">
      <c r="A27" s="1">
        <v>64062</v>
      </c>
      <c r="B27" s="1" t="s">
        <v>27</v>
      </c>
      <c r="C27" s="1" t="s">
        <v>49</v>
      </c>
      <c r="D27" s="1">
        <v>2</v>
      </c>
      <c r="E27" s="1">
        <v>1</v>
      </c>
      <c r="F27" s="1">
        <v>16</v>
      </c>
      <c r="G27" s="1">
        <v>9</v>
      </c>
      <c r="H27" s="1">
        <v>9</v>
      </c>
      <c r="I27" s="1" t="s">
        <v>29</v>
      </c>
      <c r="J27" s="1">
        <v>0.55000000000000004</v>
      </c>
      <c r="K27" s="1">
        <v>0.25919999999999999</v>
      </c>
      <c r="L27" s="1" t="s">
        <v>30</v>
      </c>
      <c r="M27" s="3"/>
      <c r="N27" s="1"/>
      <c r="O27" s="1"/>
      <c r="P27" s="1"/>
      <c r="Q27" s="1"/>
      <c r="R27" s="6"/>
      <c r="S27" s="3"/>
      <c r="T27" s="1"/>
      <c r="U27" s="6"/>
      <c r="V27" s="3"/>
      <c r="W27" s="1"/>
      <c r="X27" s="6"/>
      <c r="Y27" s="3"/>
      <c r="Z27" s="1"/>
      <c r="AA27" s="6"/>
    </row>
    <row r="28" spans="1:27" x14ac:dyDescent="0.3">
      <c r="A28" s="1">
        <v>64061</v>
      </c>
      <c r="B28" s="1" t="s">
        <v>27</v>
      </c>
      <c r="C28" s="1" t="s">
        <v>50</v>
      </c>
      <c r="D28" s="1">
        <v>3</v>
      </c>
      <c r="E28" s="1">
        <v>1</v>
      </c>
      <c r="F28" s="1">
        <v>13</v>
      </c>
      <c r="G28" s="1">
        <v>7</v>
      </c>
      <c r="H28" s="1">
        <v>7</v>
      </c>
      <c r="I28" s="1" t="s">
        <v>29</v>
      </c>
      <c r="J28" s="1">
        <v>0.55000000000000004</v>
      </c>
      <c r="K28" s="1">
        <v>0.12740000000000001</v>
      </c>
      <c r="L28" s="1" t="s">
        <v>30</v>
      </c>
      <c r="M28" s="3">
        <v>0.28299999999999997</v>
      </c>
      <c r="N28" s="4">
        <v>8.0600000000000005E-2</v>
      </c>
      <c r="O28" s="1">
        <v>7265</v>
      </c>
      <c r="P28" s="4">
        <v>8.0600000000000005E-2</v>
      </c>
      <c r="Q28" s="4">
        <v>8.0600000000000005E-2</v>
      </c>
      <c r="R28" s="5">
        <v>8.0600000000000005E-2</v>
      </c>
      <c r="S28" s="3">
        <v>242411</v>
      </c>
      <c r="T28" s="4">
        <v>2.5999999999999999E-3</v>
      </c>
      <c r="U28" s="6">
        <v>0.10299999999999999</v>
      </c>
      <c r="V28" s="3">
        <v>242411</v>
      </c>
      <c r="W28" s="4">
        <v>2.5999999999999999E-3</v>
      </c>
      <c r="X28" s="6">
        <v>8.6999999999999994E-2</v>
      </c>
      <c r="Y28" s="3">
        <v>242411</v>
      </c>
      <c r="Z28" s="4">
        <v>2.5999999999999999E-3</v>
      </c>
      <c r="AA28" s="6">
        <v>8.6999999999999994E-2</v>
      </c>
    </row>
    <row r="29" spans="1:27" x14ac:dyDescent="0.3">
      <c r="A29" s="1">
        <v>64060</v>
      </c>
      <c r="B29" s="1" t="s">
        <v>27</v>
      </c>
      <c r="C29" s="1" t="s">
        <v>51</v>
      </c>
      <c r="D29" s="1">
        <v>4</v>
      </c>
      <c r="E29" s="1">
        <v>1</v>
      </c>
      <c r="F29" s="1">
        <v>16</v>
      </c>
      <c r="G29" s="1">
        <v>9</v>
      </c>
      <c r="H29" s="1">
        <v>9</v>
      </c>
      <c r="I29" s="1" t="s">
        <v>29</v>
      </c>
      <c r="J29" s="1">
        <v>0.55000000000000004</v>
      </c>
      <c r="K29" s="1">
        <v>0.25919999999999999</v>
      </c>
      <c r="L29" s="1" t="s">
        <v>30</v>
      </c>
      <c r="M29" s="3"/>
      <c r="N29" s="1"/>
      <c r="O29" s="1"/>
      <c r="P29" s="1"/>
      <c r="Q29" s="1"/>
      <c r="R29" s="6"/>
      <c r="S29" s="3"/>
      <c r="T29" s="1"/>
      <c r="U29" s="6"/>
      <c r="V29" s="3"/>
      <c r="W29" s="1"/>
      <c r="X29" s="6"/>
      <c r="Y29" s="3"/>
      <c r="Z29" s="1"/>
      <c r="AA29" s="6"/>
    </row>
    <row r="30" spans="1:27" x14ac:dyDescent="0.3">
      <c r="A30" s="1">
        <v>64057</v>
      </c>
      <c r="B30" s="1" t="s">
        <v>27</v>
      </c>
      <c r="C30" s="1" t="s">
        <v>52</v>
      </c>
      <c r="D30" s="1">
        <v>5</v>
      </c>
      <c r="E30" s="1">
        <v>1</v>
      </c>
      <c r="F30" s="1">
        <v>13</v>
      </c>
      <c r="G30" s="1">
        <v>7</v>
      </c>
      <c r="H30" s="1">
        <v>7</v>
      </c>
      <c r="I30" s="1" t="s">
        <v>29</v>
      </c>
      <c r="J30" s="1">
        <v>0.5</v>
      </c>
      <c r="K30" s="1">
        <v>0.12740000000000001</v>
      </c>
      <c r="L30" s="1" t="s">
        <v>30</v>
      </c>
      <c r="M30" s="3"/>
      <c r="N30" s="1"/>
      <c r="O30" s="1"/>
      <c r="P30" s="1"/>
      <c r="Q30" s="1"/>
      <c r="R30" s="6"/>
      <c r="S30" s="3"/>
      <c r="T30" s="1"/>
      <c r="U30" s="6"/>
      <c r="V30" s="3"/>
      <c r="W30" s="1"/>
      <c r="X30" s="6"/>
      <c r="Y30" s="3"/>
      <c r="Z30" s="1"/>
      <c r="AA30" s="6"/>
    </row>
    <row r="31" spans="1:27" x14ac:dyDescent="0.3">
      <c r="A31" s="1">
        <v>64056</v>
      </c>
      <c r="B31" s="1" t="s">
        <v>27</v>
      </c>
      <c r="C31" s="1" t="s">
        <v>53</v>
      </c>
      <c r="D31" s="1">
        <v>1</v>
      </c>
      <c r="E31" s="1">
        <v>1</v>
      </c>
      <c r="F31" s="1">
        <v>33</v>
      </c>
      <c r="G31" s="1">
        <v>25</v>
      </c>
      <c r="H31" s="1">
        <v>12</v>
      </c>
      <c r="I31" s="1" t="s">
        <v>29</v>
      </c>
      <c r="J31" s="1">
        <v>1.1000000000000001</v>
      </c>
      <c r="K31" s="1">
        <v>1.98</v>
      </c>
      <c r="L31" s="1" t="s">
        <v>30</v>
      </c>
      <c r="M31" s="3"/>
      <c r="N31" s="1"/>
      <c r="O31" s="1"/>
      <c r="P31" s="1"/>
      <c r="Q31" s="1"/>
      <c r="R31" s="6"/>
      <c r="S31" s="3"/>
      <c r="T31" s="1"/>
      <c r="U31" s="6"/>
      <c r="V31" s="3"/>
      <c r="W31" s="1"/>
      <c r="X31" s="6"/>
      <c r="Y31" s="3"/>
      <c r="Z31" s="1"/>
      <c r="AA31" s="6"/>
    </row>
    <row r="32" spans="1:27" x14ac:dyDescent="0.3">
      <c r="A32" s="1">
        <v>64055</v>
      </c>
      <c r="B32" s="1" t="s">
        <v>27</v>
      </c>
      <c r="C32" s="1" t="s">
        <v>54</v>
      </c>
      <c r="D32" s="1">
        <v>2</v>
      </c>
      <c r="E32" s="1">
        <v>1</v>
      </c>
      <c r="F32" s="1">
        <v>36</v>
      </c>
      <c r="G32" s="1">
        <v>28</v>
      </c>
      <c r="H32" s="1">
        <v>16</v>
      </c>
      <c r="I32" s="1" t="s">
        <v>29</v>
      </c>
      <c r="J32" s="1">
        <v>2.5</v>
      </c>
      <c r="K32" s="1">
        <v>3.2256</v>
      </c>
      <c r="L32" s="1" t="s">
        <v>30</v>
      </c>
      <c r="M32" s="3"/>
      <c r="N32" s="1"/>
      <c r="O32" s="1"/>
      <c r="P32" s="1"/>
      <c r="Q32" s="1"/>
      <c r="R32" s="6"/>
      <c r="S32" s="3"/>
      <c r="T32" s="1"/>
      <c r="U32" s="6"/>
      <c r="V32" s="3"/>
      <c r="W32" s="1"/>
      <c r="X32" s="6"/>
      <c r="Y32" s="3"/>
      <c r="Z32" s="1"/>
      <c r="AA32" s="6"/>
    </row>
    <row r="33" spans="1:27" x14ac:dyDescent="0.3">
      <c r="A33" s="1">
        <v>64054</v>
      </c>
      <c r="B33" s="1" t="s">
        <v>27</v>
      </c>
      <c r="C33" s="1" t="s">
        <v>55</v>
      </c>
      <c r="D33" s="1">
        <v>3</v>
      </c>
      <c r="E33" s="1">
        <v>1</v>
      </c>
      <c r="F33" s="1">
        <v>33</v>
      </c>
      <c r="G33" s="1">
        <v>30</v>
      </c>
      <c r="H33" s="1">
        <v>8</v>
      </c>
      <c r="I33" s="1" t="s">
        <v>29</v>
      </c>
      <c r="J33" s="1">
        <v>2.15</v>
      </c>
      <c r="K33" s="1">
        <v>1.5840000000000001</v>
      </c>
      <c r="L33" s="1" t="s">
        <v>30</v>
      </c>
      <c r="M33" s="3"/>
      <c r="N33" s="1"/>
      <c r="O33" s="1"/>
      <c r="P33" s="1"/>
      <c r="Q33" s="1"/>
      <c r="R33" s="6"/>
      <c r="S33" s="3"/>
      <c r="T33" s="1"/>
      <c r="U33" s="6"/>
      <c r="V33" s="3"/>
      <c r="W33" s="1"/>
      <c r="X33" s="6"/>
      <c r="Y33" s="3"/>
      <c r="Z33" s="1"/>
      <c r="AA33" s="6"/>
    </row>
    <row r="34" spans="1:27" x14ac:dyDescent="0.3">
      <c r="A34" s="1">
        <v>64052</v>
      </c>
      <c r="B34" s="1" t="s">
        <v>27</v>
      </c>
      <c r="C34" s="1" t="s">
        <v>56</v>
      </c>
      <c r="D34" s="1">
        <v>4</v>
      </c>
      <c r="E34" s="1">
        <v>1</v>
      </c>
      <c r="F34" s="1">
        <v>30</v>
      </c>
      <c r="G34" s="1">
        <v>30</v>
      </c>
      <c r="H34" s="1">
        <v>20</v>
      </c>
      <c r="I34" s="1" t="s">
        <v>29</v>
      </c>
      <c r="J34" s="1">
        <v>2</v>
      </c>
      <c r="K34" s="1">
        <v>3.6</v>
      </c>
      <c r="L34" s="1" t="s">
        <v>30</v>
      </c>
      <c r="M34" s="3"/>
      <c r="N34" s="1"/>
      <c r="O34" s="1"/>
      <c r="P34" s="1"/>
      <c r="Q34" s="1"/>
      <c r="R34" s="6"/>
      <c r="S34" s="3"/>
      <c r="T34" s="1"/>
      <c r="U34" s="6"/>
      <c r="V34" s="3"/>
      <c r="W34" s="1"/>
      <c r="X34" s="6"/>
      <c r="Y34" s="3"/>
      <c r="Z34" s="1"/>
      <c r="AA34" s="6"/>
    </row>
    <row r="35" spans="1:27" x14ac:dyDescent="0.3">
      <c r="A35" s="1">
        <v>64051</v>
      </c>
      <c r="B35" s="1" t="s">
        <v>27</v>
      </c>
      <c r="C35" s="1" t="s">
        <v>57</v>
      </c>
      <c r="D35" s="1">
        <v>5</v>
      </c>
      <c r="E35" s="1">
        <v>1</v>
      </c>
      <c r="F35" s="1">
        <v>60</v>
      </c>
      <c r="G35" s="1">
        <v>60</v>
      </c>
      <c r="H35" s="1">
        <v>40</v>
      </c>
      <c r="I35" s="1" t="s">
        <v>29</v>
      </c>
      <c r="J35" s="1">
        <v>18.2</v>
      </c>
      <c r="K35" s="1">
        <v>28.8</v>
      </c>
      <c r="L35" s="1" t="s">
        <v>30</v>
      </c>
      <c r="M35" s="3"/>
      <c r="N35" s="1"/>
      <c r="O35" s="1"/>
      <c r="P35" s="1"/>
      <c r="Q35" s="1"/>
      <c r="R35" s="6"/>
      <c r="S35" s="3"/>
      <c r="T35" s="1"/>
      <c r="U35" s="6"/>
      <c r="V35" s="3"/>
      <c r="W35" s="1"/>
      <c r="X35" s="6"/>
      <c r="Y35" s="3"/>
      <c r="Z35" s="1"/>
      <c r="AA35" s="6"/>
    </row>
    <row r="36" spans="1:27" x14ac:dyDescent="0.3">
      <c r="A36" s="1">
        <v>64050</v>
      </c>
      <c r="B36" s="1" t="s">
        <v>27</v>
      </c>
      <c r="C36" s="1" t="s">
        <v>58</v>
      </c>
      <c r="D36" s="1">
        <v>1</v>
      </c>
      <c r="E36" s="1">
        <v>1</v>
      </c>
      <c r="F36" s="1">
        <v>22</v>
      </c>
      <c r="G36" s="1">
        <v>14</v>
      </c>
      <c r="H36" s="1">
        <v>7</v>
      </c>
      <c r="I36" s="1" t="s">
        <v>29</v>
      </c>
      <c r="J36" s="1">
        <v>0.6</v>
      </c>
      <c r="K36" s="1">
        <v>0.43120000000000003</v>
      </c>
      <c r="L36" s="1" t="s">
        <v>30</v>
      </c>
      <c r="M36" s="3"/>
      <c r="N36" s="1"/>
      <c r="O36" s="1"/>
      <c r="P36" s="1"/>
      <c r="Q36" s="1"/>
      <c r="R36" s="6"/>
      <c r="S36" s="3"/>
      <c r="T36" s="1"/>
      <c r="U36" s="6"/>
      <c r="V36" s="3"/>
      <c r="W36" s="1"/>
      <c r="X36" s="6"/>
      <c r="Y36" s="3"/>
      <c r="Z36" s="1"/>
      <c r="AA36" s="6"/>
    </row>
    <row r="37" spans="1:27" x14ac:dyDescent="0.3">
      <c r="A37" s="1">
        <v>64048</v>
      </c>
      <c r="B37" s="1" t="s">
        <v>27</v>
      </c>
      <c r="C37" s="1" t="s">
        <v>59</v>
      </c>
      <c r="D37" s="1">
        <v>2</v>
      </c>
      <c r="E37" s="1">
        <v>1</v>
      </c>
      <c r="F37" s="1">
        <v>32</v>
      </c>
      <c r="G37" s="1">
        <v>14</v>
      </c>
      <c r="H37" s="1">
        <v>4</v>
      </c>
      <c r="I37" s="1" t="s">
        <v>29</v>
      </c>
      <c r="J37" s="1">
        <v>0.15</v>
      </c>
      <c r="K37" s="1">
        <v>0.3584</v>
      </c>
      <c r="L37" s="1" t="s">
        <v>30</v>
      </c>
      <c r="M37" s="3"/>
      <c r="N37" s="1"/>
      <c r="O37" s="1"/>
      <c r="P37" s="1"/>
      <c r="Q37" s="1"/>
      <c r="R37" s="6"/>
      <c r="S37" s="3"/>
      <c r="T37" s="1"/>
      <c r="U37" s="6"/>
      <c r="V37" s="3"/>
      <c r="W37" s="1"/>
      <c r="X37" s="6"/>
      <c r="Y37" s="3"/>
      <c r="Z37" s="1"/>
      <c r="AA37" s="6"/>
    </row>
    <row r="38" spans="1:27" x14ac:dyDescent="0.3">
      <c r="A38" s="1">
        <v>64046</v>
      </c>
      <c r="B38" s="1" t="s">
        <v>27</v>
      </c>
      <c r="C38" s="1" t="s">
        <v>60</v>
      </c>
      <c r="D38" s="1">
        <v>3</v>
      </c>
      <c r="E38" s="1">
        <v>1</v>
      </c>
      <c r="F38" s="1">
        <v>17</v>
      </c>
      <c r="G38" s="1">
        <v>14</v>
      </c>
      <c r="H38" s="1">
        <v>4</v>
      </c>
      <c r="I38" s="1" t="s">
        <v>29</v>
      </c>
      <c r="J38" s="1">
        <v>0.1</v>
      </c>
      <c r="K38" s="1">
        <v>0.19040000000000001</v>
      </c>
      <c r="L38" s="1" t="s">
        <v>30</v>
      </c>
      <c r="M38" s="3"/>
      <c r="N38" s="1"/>
      <c r="O38" s="1"/>
      <c r="P38" s="1"/>
      <c r="Q38" s="1"/>
      <c r="R38" s="6"/>
      <c r="S38" s="3"/>
      <c r="T38" s="1"/>
      <c r="U38" s="6"/>
      <c r="V38" s="3"/>
      <c r="W38" s="1"/>
      <c r="X38" s="6"/>
      <c r="Y38" s="3"/>
      <c r="Z38" s="1"/>
      <c r="AA38" s="6"/>
    </row>
    <row r="39" spans="1:27" x14ac:dyDescent="0.3">
      <c r="A39" s="1">
        <v>64045</v>
      </c>
      <c r="B39" s="1" t="s">
        <v>27</v>
      </c>
      <c r="C39" s="1" t="s">
        <v>59</v>
      </c>
      <c r="D39" s="1">
        <v>1</v>
      </c>
      <c r="E39" s="1">
        <v>1</v>
      </c>
      <c r="F39" s="1">
        <v>36</v>
      </c>
      <c r="G39" s="1">
        <v>27</v>
      </c>
      <c r="H39" s="1">
        <v>14</v>
      </c>
      <c r="I39" s="1" t="s">
        <v>29</v>
      </c>
      <c r="J39" s="1">
        <v>1</v>
      </c>
      <c r="K39" s="1">
        <v>2.7216</v>
      </c>
      <c r="L39" s="1" t="s">
        <v>30</v>
      </c>
      <c r="M39" s="3">
        <v>0.51700000000000002</v>
      </c>
      <c r="N39" s="4">
        <v>0.82569999999999999</v>
      </c>
      <c r="O39" s="1">
        <v>3251</v>
      </c>
      <c r="P39" s="4">
        <v>0.82569999999999999</v>
      </c>
      <c r="Q39" s="4">
        <v>0.82569999999999999</v>
      </c>
      <c r="R39" s="5">
        <v>0.82569999999999999</v>
      </c>
      <c r="S39" s="3">
        <v>2276.48</v>
      </c>
      <c r="T39" s="4">
        <v>6.3399999999999998E-2</v>
      </c>
      <c r="U39" s="6">
        <v>0.113</v>
      </c>
      <c r="V39" s="3">
        <v>4706.96</v>
      </c>
      <c r="W39" s="4">
        <v>3.1699999999999999E-2</v>
      </c>
      <c r="X39" s="6">
        <v>8.6999999999999994E-2</v>
      </c>
      <c r="Y39" s="3">
        <v>2412.56</v>
      </c>
      <c r="Z39" s="4">
        <v>7.4000000000000003E-3</v>
      </c>
      <c r="AA39" s="6">
        <v>8.6999999999999994E-2</v>
      </c>
    </row>
    <row r="40" spans="1:27" x14ac:dyDescent="0.3">
      <c r="A40" s="1">
        <v>5203</v>
      </c>
      <c r="B40" s="1" t="s">
        <v>27</v>
      </c>
      <c r="C40" s="1" t="s">
        <v>60</v>
      </c>
      <c r="D40" s="1">
        <v>1</v>
      </c>
      <c r="E40" s="1">
        <v>8</v>
      </c>
      <c r="F40" s="1">
        <v>33</v>
      </c>
      <c r="G40" s="1">
        <v>33</v>
      </c>
      <c r="H40" s="1">
        <v>5</v>
      </c>
      <c r="I40" s="1" t="s">
        <v>29</v>
      </c>
      <c r="J40" s="1">
        <v>1.8</v>
      </c>
      <c r="K40" s="1">
        <v>8.7119999999999997</v>
      </c>
      <c r="L40" s="1" t="s">
        <v>30</v>
      </c>
      <c r="M40" s="3"/>
      <c r="N40" s="1"/>
      <c r="O40" s="1"/>
      <c r="P40" s="1"/>
      <c r="Q40" s="1"/>
      <c r="R40" s="6"/>
      <c r="S40" s="3"/>
      <c r="T40" s="1"/>
      <c r="U40" s="6"/>
      <c r="V40" s="3"/>
      <c r="W40" s="1"/>
      <c r="X40" s="6"/>
      <c r="Y40" s="3"/>
      <c r="Z40" s="1"/>
      <c r="AA40" s="6"/>
    </row>
    <row r="41" spans="1:27" x14ac:dyDescent="0.3">
      <c r="A41" s="1">
        <v>64044</v>
      </c>
      <c r="B41" s="1" t="s">
        <v>27</v>
      </c>
      <c r="C41" s="1" t="s">
        <v>61</v>
      </c>
      <c r="D41" s="1">
        <v>1</v>
      </c>
      <c r="E41" s="1">
        <v>12</v>
      </c>
      <c r="F41" s="1">
        <v>33</v>
      </c>
      <c r="G41" s="1">
        <v>33</v>
      </c>
      <c r="H41" s="1">
        <v>5</v>
      </c>
      <c r="I41" s="1" t="s">
        <v>29</v>
      </c>
      <c r="J41" s="1">
        <v>1.8</v>
      </c>
      <c r="K41" s="1">
        <v>13.068</v>
      </c>
      <c r="L41" s="1" t="s">
        <v>30</v>
      </c>
      <c r="M41" s="3"/>
      <c r="N41" s="1"/>
      <c r="O41" s="1"/>
      <c r="P41" s="1"/>
      <c r="Q41" s="1"/>
      <c r="R41" s="6"/>
      <c r="S41" s="3"/>
      <c r="T41" s="1"/>
      <c r="U41" s="6"/>
      <c r="V41" s="3"/>
      <c r="W41" s="1"/>
      <c r="X41" s="6"/>
      <c r="Y41" s="3"/>
      <c r="Z41" s="1"/>
      <c r="AA41" s="6"/>
    </row>
    <row r="42" spans="1:27" x14ac:dyDescent="0.3">
      <c r="A42" s="1">
        <v>64043</v>
      </c>
      <c r="B42" s="1" t="s">
        <v>27</v>
      </c>
      <c r="C42" s="1" t="s">
        <v>62</v>
      </c>
      <c r="D42" s="1">
        <v>1</v>
      </c>
      <c r="E42" s="1">
        <v>5</v>
      </c>
      <c r="F42" s="1">
        <v>53</v>
      </c>
      <c r="G42" s="1">
        <v>30</v>
      </c>
      <c r="H42" s="1">
        <v>10</v>
      </c>
      <c r="I42" s="1" t="s">
        <v>29</v>
      </c>
      <c r="J42" s="1">
        <v>0.5</v>
      </c>
      <c r="K42" s="1">
        <v>15.9</v>
      </c>
      <c r="L42" s="1" t="s">
        <v>30</v>
      </c>
      <c r="M42" s="3">
        <v>2.0750000000000002</v>
      </c>
      <c r="N42" s="4">
        <v>0.59040000000000004</v>
      </c>
      <c r="O42" s="1">
        <v>55157</v>
      </c>
      <c r="P42" s="1" t="s">
        <v>32</v>
      </c>
      <c r="Q42" s="4">
        <v>0.59040000000000004</v>
      </c>
      <c r="R42" s="5">
        <v>0.59040000000000004</v>
      </c>
      <c r="S42" s="3">
        <v>1635.48</v>
      </c>
      <c r="T42" s="4">
        <v>0.3271</v>
      </c>
      <c r="U42" s="6">
        <v>0.14599999999999999</v>
      </c>
      <c r="V42" s="3">
        <v>1635.48</v>
      </c>
      <c r="W42" s="4">
        <v>0.3271</v>
      </c>
      <c r="X42" s="6">
        <v>8.7999999999999995E-2</v>
      </c>
      <c r="Y42" s="3">
        <v>179448</v>
      </c>
      <c r="Z42" s="4">
        <v>0.26169999999999999</v>
      </c>
      <c r="AA42" s="6">
        <v>9.1999999999999998E-2</v>
      </c>
    </row>
    <row r="43" spans="1:27" x14ac:dyDescent="0.3">
      <c r="A43" s="1">
        <v>64041</v>
      </c>
      <c r="B43" s="1" t="s">
        <v>27</v>
      </c>
      <c r="C43" s="1" t="s">
        <v>63</v>
      </c>
      <c r="D43" s="1">
        <v>2</v>
      </c>
      <c r="E43" s="1">
        <v>2</v>
      </c>
      <c r="F43" s="1">
        <v>14</v>
      </c>
      <c r="G43" s="1">
        <v>12</v>
      </c>
      <c r="H43" s="1">
        <v>3</v>
      </c>
      <c r="I43" s="1" t="s">
        <v>29</v>
      </c>
      <c r="J43" s="1">
        <v>0.15</v>
      </c>
      <c r="K43" s="1">
        <v>0.2016</v>
      </c>
      <c r="L43" s="1" t="s">
        <v>30</v>
      </c>
      <c r="M43" s="3"/>
      <c r="N43" s="1"/>
      <c r="O43" s="1"/>
      <c r="P43" s="1"/>
      <c r="Q43" s="1"/>
      <c r="R43" s="6"/>
      <c r="S43" s="3"/>
      <c r="T43" s="1"/>
      <c r="U43" s="6"/>
      <c r="V43" s="3"/>
      <c r="W43" s="1"/>
      <c r="X43" s="6"/>
      <c r="Y43" s="3"/>
      <c r="Z43" s="1"/>
      <c r="AA43" s="6"/>
    </row>
    <row r="44" spans="1:27" x14ac:dyDescent="0.3">
      <c r="A44" s="1">
        <v>64040</v>
      </c>
      <c r="B44" s="1" t="s">
        <v>27</v>
      </c>
      <c r="C44" s="1" t="s">
        <v>64</v>
      </c>
      <c r="D44" s="1">
        <v>3</v>
      </c>
      <c r="E44" s="1">
        <v>2</v>
      </c>
      <c r="F44" s="1">
        <v>10</v>
      </c>
      <c r="G44" s="1">
        <v>10</v>
      </c>
      <c r="H44" s="1">
        <v>4</v>
      </c>
      <c r="I44" s="1" t="s">
        <v>29</v>
      </c>
      <c r="J44" s="1">
        <v>0.15</v>
      </c>
      <c r="K44" s="1">
        <v>0.16</v>
      </c>
      <c r="L44" s="1" t="s">
        <v>30</v>
      </c>
      <c r="M44" s="3"/>
      <c r="N44" s="1"/>
      <c r="O44" s="1"/>
      <c r="P44" s="1"/>
      <c r="Q44" s="1"/>
      <c r="R44" s="6"/>
      <c r="S44" s="3"/>
      <c r="T44" s="1"/>
      <c r="U44" s="6"/>
      <c r="V44" s="3"/>
      <c r="W44" s="1"/>
      <c r="X44" s="6"/>
      <c r="Y44" s="3"/>
      <c r="Z44" s="1"/>
      <c r="AA44" s="6"/>
    </row>
    <row r="45" spans="1:27" x14ac:dyDescent="0.3">
      <c r="A45" s="1">
        <v>64039</v>
      </c>
      <c r="B45" s="1" t="s">
        <v>27</v>
      </c>
      <c r="C45" s="1" t="s">
        <v>63</v>
      </c>
      <c r="D45" s="1">
        <v>1</v>
      </c>
      <c r="E45" s="1">
        <v>1</v>
      </c>
      <c r="F45" s="1">
        <v>72</v>
      </c>
      <c r="G45" s="1">
        <v>49</v>
      </c>
      <c r="H45" s="1">
        <v>46</v>
      </c>
      <c r="I45" s="1" t="s">
        <v>29</v>
      </c>
      <c r="J45" s="1">
        <v>21.35</v>
      </c>
      <c r="K45" s="1">
        <v>32.457599999999999</v>
      </c>
      <c r="L45" s="1" t="s">
        <v>30</v>
      </c>
      <c r="M45" s="3"/>
      <c r="N45" s="1"/>
      <c r="O45" s="1"/>
      <c r="P45" s="1"/>
      <c r="Q45" s="1"/>
      <c r="R45" s="6"/>
      <c r="S45" s="3"/>
      <c r="T45" s="1"/>
      <c r="U45" s="6"/>
      <c r="V45" s="3"/>
      <c r="W45" s="1"/>
      <c r="X45" s="6"/>
      <c r="Y45" s="3"/>
      <c r="Z45" s="1"/>
      <c r="AA45" s="6"/>
    </row>
    <row r="46" spans="1:27" x14ac:dyDescent="0.3">
      <c r="A46" s="1">
        <v>5202</v>
      </c>
      <c r="B46" s="1" t="s">
        <v>27</v>
      </c>
      <c r="C46" s="1" t="s">
        <v>64</v>
      </c>
      <c r="D46" s="1">
        <v>1</v>
      </c>
      <c r="E46" s="1">
        <v>1</v>
      </c>
      <c r="F46" s="1">
        <v>21</v>
      </c>
      <c r="G46" s="1">
        <v>14</v>
      </c>
      <c r="H46" s="1">
        <v>12</v>
      </c>
      <c r="I46" s="1" t="s">
        <v>29</v>
      </c>
      <c r="J46" s="1">
        <v>0.35</v>
      </c>
      <c r="K46" s="1">
        <v>0.7056</v>
      </c>
      <c r="L46" s="1" t="s">
        <v>30</v>
      </c>
      <c r="M46" s="3"/>
      <c r="N46" s="1"/>
      <c r="O46" s="1"/>
      <c r="P46" s="1"/>
      <c r="Q46" s="1"/>
      <c r="R46" s="6"/>
      <c r="S46" s="3"/>
      <c r="T46" s="1"/>
      <c r="U46" s="6"/>
      <c r="V46" s="3"/>
      <c r="W46" s="1"/>
      <c r="X46" s="6"/>
      <c r="Y46" s="3"/>
      <c r="Z46" s="1"/>
      <c r="AA46" s="6"/>
    </row>
    <row r="47" spans="1:27" x14ac:dyDescent="0.3">
      <c r="A47" s="1">
        <v>5201</v>
      </c>
      <c r="B47" s="1" t="s">
        <v>27</v>
      </c>
      <c r="C47" s="1">
        <v>809568627</v>
      </c>
      <c r="D47" s="1">
        <v>19070020</v>
      </c>
      <c r="E47" s="1">
        <v>1</v>
      </c>
      <c r="F47" s="1">
        <v>24</v>
      </c>
      <c r="G47" s="1">
        <v>24</v>
      </c>
      <c r="H47" s="1">
        <v>20</v>
      </c>
      <c r="I47" s="1" t="s">
        <v>29</v>
      </c>
      <c r="J47" s="1">
        <v>1.35</v>
      </c>
      <c r="K47" s="1">
        <v>2.3039999999999998</v>
      </c>
      <c r="L47" s="1" t="s">
        <v>30</v>
      </c>
      <c r="M47" s="3">
        <v>0.28799999999999998</v>
      </c>
      <c r="N47" s="4">
        <v>0.75890000000000002</v>
      </c>
      <c r="O47" s="1">
        <v>3660</v>
      </c>
      <c r="P47" s="1" t="s">
        <v>32</v>
      </c>
      <c r="Q47" s="4">
        <v>0.75890000000000002</v>
      </c>
      <c r="R47" s="5">
        <v>0.75890000000000002</v>
      </c>
      <c r="S47" s="3">
        <v>2315.2800000000002</v>
      </c>
      <c r="T47" s="4">
        <v>4.7399999999999998E-2</v>
      </c>
      <c r="U47" s="6">
        <v>0.105</v>
      </c>
      <c r="V47" s="3">
        <v>2315.2800000000002</v>
      </c>
      <c r="W47" s="4">
        <v>4.7399999999999998E-2</v>
      </c>
      <c r="X47" s="6">
        <v>8.6999999999999994E-2</v>
      </c>
      <c r="Y47" s="3"/>
      <c r="Z47" s="1" t="s">
        <v>38</v>
      </c>
      <c r="AA47" s="6"/>
    </row>
    <row r="48" spans="1:27" x14ac:dyDescent="0.3">
      <c r="A48" s="1">
        <v>5200</v>
      </c>
      <c r="B48" s="1" t="s">
        <v>27</v>
      </c>
      <c r="C48" s="1">
        <v>809568674</v>
      </c>
      <c r="D48" s="1" t="s">
        <v>65</v>
      </c>
      <c r="E48" s="1">
        <v>1</v>
      </c>
      <c r="F48" s="1">
        <v>21</v>
      </c>
      <c r="G48" s="1">
        <v>15</v>
      </c>
      <c r="H48" s="1">
        <v>7</v>
      </c>
      <c r="I48" s="1" t="s">
        <v>29</v>
      </c>
      <c r="J48" s="1">
        <v>0.2</v>
      </c>
      <c r="K48" s="1">
        <v>0.441</v>
      </c>
      <c r="L48" s="1" t="s">
        <v>30</v>
      </c>
      <c r="M48" s="3">
        <v>0.45500000000000002</v>
      </c>
      <c r="N48" s="4">
        <v>0.55800000000000005</v>
      </c>
      <c r="O48" s="1">
        <v>3492.75</v>
      </c>
      <c r="P48" s="4">
        <v>0.55800000000000005</v>
      </c>
      <c r="Q48" s="4">
        <v>0.55800000000000005</v>
      </c>
      <c r="R48" s="5">
        <v>0.55800000000000005</v>
      </c>
      <c r="S48" s="3">
        <v>238638</v>
      </c>
      <c r="T48" s="4">
        <v>1.8100000000000002E-2</v>
      </c>
      <c r="U48" s="6">
        <v>8.6999999999999994E-2</v>
      </c>
      <c r="V48" s="3">
        <v>238638</v>
      </c>
      <c r="W48" s="4">
        <v>1.8100000000000002E-2</v>
      </c>
      <c r="X48" s="6">
        <v>8.6999999999999994E-2</v>
      </c>
      <c r="Y48" s="3">
        <v>238638</v>
      </c>
      <c r="Z48" s="4">
        <v>1.8100000000000002E-2</v>
      </c>
      <c r="AA48" s="6">
        <v>8.6999999999999994E-2</v>
      </c>
    </row>
    <row r="49" spans="1:27" x14ac:dyDescent="0.3">
      <c r="A49" s="1">
        <v>5199</v>
      </c>
      <c r="B49" s="1" t="s">
        <v>27</v>
      </c>
      <c r="C49" s="1">
        <v>809568674</v>
      </c>
      <c r="D49" s="1" t="s">
        <v>66</v>
      </c>
      <c r="E49" s="1">
        <v>1</v>
      </c>
      <c r="F49" s="1">
        <v>21</v>
      </c>
      <c r="G49" s="1">
        <v>15</v>
      </c>
      <c r="H49" s="1">
        <v>7</v>
      </c>
      <c r="I49" s="1" t="s">
        <v>29</v>
      </c>
      <c r="J49" s="1">
        <v>0.15</v>
      </c>
      <c r="K49" s="1">
        <v>0.441</v>
      </c>
      <c r="L49" s="1" t="s">
        <v>30</v>
      </c>
      <c r="M49" s="3"/>
      <c r="N49" s="1"/>
      <c r="O49" s="1"/>
      <c r="P49" s="1"/>
      <c r="Q49" s="1"/>
      <c r="R49" s="6"/>
      <c r="S49" s="3"/>
      <c r="T49" s="1"/>
      <c r="U49" s="6"/>
      <c r="V49" s="3"/>
      <c r="W49" s="1"/>
      <c r="X49" s="6"/>
      <c r="Y49" s="3"/>
      <c r="Z49" s="1"/>
      <c r="AA49" s="6"/>
    </row>
    <row r="50" spans="1:27" x14ac:dyDescent="0.3">
      <c r="A50" s="1"/>
      <c r="B50" s="1"/>
      <c r="C50" s="1">
        <v>809568726</v>
      </c>
      <c r="D50" s="1">
        <v>154630</v>
      </c>
      <c r="E50" s="1">
        <v>2</v>
      </c>
      <c r="F50" s="1">
        <v>21</v>
      </c>
      <c r="G50" s="1">
        <v>6</v>
      </c>
      <c r="H50" s="1">
        <v>3</v>
      </c>
      <c r="I50" s="1" t="s">
        <v>29</v>
      </c>
      <c r="J50" s="1">
        <v>0.05</v>
      </c>
      <c r="K50" s="1">
        <v>0.1512</v>
      </c>
      <c r="L50" s="1" t="s">
        <v>30</v>
      </c>
      <c r="M50" s="3"/>
      <c r="N50" s="1"/>
      <c r="O50" s="1"/>
      <c r="P50" s="1"/>
      <c r="Q50" s="1"/>
      <c r="R50" s="6"/>
      <c r="S50" s="3"/>
      <c r="T50" s="1"/>
      <c r="U50" s="6"/>
      <c r="V50" s="3"/>
      <c r="W50" s="1"/>
      <c r="X50" s="6"/>
      <c r="Y50" s="3"/>
      <c r="Z50" s="1"/>
      <c r="AA50" s="6"/>
    </row>
    <row r="51" spans="1:27" x14ac:dyDescent="0.3">
      <c r="A51" s="1"/>
      <c r="B51" s="1"/>
      <c r="C51" s="1">
        <v>809568726</v>
      </c>
      <c r="D51" s="1">
        <v>154630</v>
      </c>
      <c r="E51" s="1">
        <v>2</v>
      </c>
      <c r="F51" s="1">
        <v>21</v>
      </c>
      <c r="G51" s="1">
        <v>6</v>
      </c>
      <c r="H51" s="1">
        <v>3</v>
      </c>
      <c r="I51" s="1" t="s">
        <v>29</v>
      </c>
      <c r="J51" s="1">
        <v>0.05</v>
      </c>
      <c r="K51" s="1">
        <v>0.1512</v>
      </c>
      <c r="L51" s="1" t="s">
        <v>30</v>
      </c>
      <c r="M51" s="3"/>
      <c r="N51" s="1"/>
      <c r="O51" s="1"/>
      <c r="P51" s="1"/>
      <c r="Q51" s="1"/>
      <c r="R51" s="6"/>
      <c r="S51" s="3"/>
      <c r="T51" s="1"/>
      <c r="U51" s="6"/>
      <c r="V51" s="3"/>
      <c r="W51" s="1"/>
      <c r="X51" s="6"/>
      <c r="Y51" s="3"/>
      <c r="Z51" s="1"/>
      <c r="AA51" s="6"/>
    </row>
    <row r="52" spans="1:27" x14ac:dyDescent="0.3">
      <c r="A52" s="1"/>
      <c r="B52" s="1"/>
      <c r="C52" s="1">
        <v>809568726</v>
      </c>
      <c r="D52" s="1">
        <v>254630</v>
      </c>
      <c r="E52" s="1">
        <v>2</v>
      </c>
      <c r="F52" s="1">
        <v>42</v>
      </c>
      <c r="G52" s="1">
        <v>6</v>
      </c>
      <c r="H52" s="1">
        <v>3</v>
      </c>
      <c r="I52" s="1" t="s">
        <v>29</v>
      </c>
      <c r="J52" s="1">
        <v>0.15</v>
      </c>
      <c r="K52" s="1">
        <v>0.3024</v>
      </c>
      <c r="L52" s="1" t="s">
        <v>30</v>
      </c>
      <c r="M52" s="3"/>
      <c r="N52" s="1"/>
      <c r="O52" s="1"/>
      <c r="P52" s="1"/>
      <c r="Q52" s="1"/>
      <c r="R52" s="6"/>
      <c r="S52" s="3"/>
      <c r="T52" s="1"/>
      <c r="U52" s="6"/>
      <c r="V52" s="3"/>
      <c r="W52" s="1"/>
      <c r="X52" s="6"/>
      <c r="Y52" s="3"/>
      <c r="Z52" s="1"/>
      <c r="AA52" s="6"/>
    </row>
    <row r="53" spans="1:27" x14ac:dyDescent="0.3">
      <c r="A53" s="1"/>
      <c r="B53" s="1"/>
      <c r="C53" s="1">
        <v>809568726</v>
      </c>
      <c r="D53" s="1">
        <v>254630</v>
      </c>
      <c r="E53" s="1">
        <v>2</v>
      </c>
      <c r="F53" s="1">
        <v>42</v>
      </c>
      <c r="G53" s="1">
        <v>6</v>
      </c>
      <c r="H53" s="1">
        <v>3</v>
      </c>
      <c r="I53" s="1" t="s">
        <v>29</v>
      </c>
      <c r="J53" s="1">
        <v>0.15</v>
      </c>
      <c r="K53" s="1">
        <v>0.3024</v>
      </c>
      <c r="L53" s="1" t="s">
        <v>30</v>
      </c>
      <c r="M53" s="3"/>
      <c r="N53" s="1"/>
      <c r="O53" s="1"/>
      <c r="P53" s="1"/>
      <c r="Q53" s="1"/>
      <c r="R53" s="6"/>
      <c r="S53" s="3"/>
      <c r="T53" s="1"/>
      <c r="U53" s="6"/>
      <c r="V53" s="3"/>
      <c r="W53" s="1"/>
      <c r="X53" s="6"/>
      <c r="Y53" s="3"/>
      <c r="Z53" s="1"/>
      <c r="AA53" s="6"/>
    </row>
    <row r="54" spans="1:27" x14ac:dyDescent="0.3">
      <c r="A54" s="1"/>
      <c r="B54" s="1"/>
      <c r="C54" s="1">
        <v>809568727</v>
      </c>
      <c r="D54" s="1">
        <v>1540</v>
      </c>
      <c r="E54" s="1">
        <v>1</v>
      </c>
      <c r="F54" s="1">
        <v>23</v>
      </c>
      <c r="G54" s="1">
        <v>23</v>
      </c>
      <c r="H54" s="1">
        <v>6</v>
      </c>
      <c r="I54" s="1" t="s">
        <v>29</v>
      </c>
      <c r="J54" s="1">
        <v>0.3</v>
      </c>
      <c r="K54" s="1">
        <v>0.63480000000000003</v>
      </c>
      <c r="L54" s="1" t="s">
        <v>30</v>
      </c>
      <c r="M54" s="3">
        <v>0.28699999999999998</v>
      </c>
      <c r="N54" s="4">
        <v>0.20910000000000001</v>
      </c>
      <c r="O54" s="1">
        <v>12006</v>
      </c>
      <c r="P54" s="1" t="s">
        <v>68</v>
      </c>
      <c r="Q54" s="4">
        <v>0.20910000000000001</v>
      </c>
      <c r="R54" s="5">
        <v>0.20910000000000001</v>
      </c>
      <c r="S54" s="3">
        <v>2398.7399999999998</v>
      </c>
      <c r="T54" s="4">
        <v>1.3100000000000001E-2</v>
      </c>
      <c r="U54" s="6">
        <v>0.105</v>
      </c>
      <c r="V54" s="3">
        <v>2398.7399999999998</v>
      </c>
      <c r="W54" s="4">
        <v>1.3100000000000001E-2</v>
      </c>
      <c r="X54" s="6">
        <v>8.5999999999999993E-2</v>
      </c>
      <c r="Y54" s="3">
        <v>2398.7399999999998</v>
      </c>
      <c r="Z54" s="4">
        <v>1.3100000000000001E-2</v>
      </c>
      <c r="AA54" s="6">
        <v>8.6999999999999994E-2</v>
      </c>
    </row>
    <row r="55" spans="1:27" x14ac:dyDescent="0.3">
      <c r="A55" s="1"/>
      <c r="B55" s="1"/>
      <c r="C55" s="1">
        <v>809569692</v>
      </c>
      <c r="D55" s="1">
        <v>6850.1970000000001</v>
      </c>
      <c r="E55" s="1">
        <v>1</v>
      </c>
      <c r="F55" s="1">
        <v>17</v>
      </c>
      <c r="G55" s="1">
        <v>12</v>
      </c>
      <c r="H55" s="1">
        <v>8</v>
      </c>
      <c r="I55" s="1" t="s">
        <v>29</v>
      </c>
      <c r="J55" s="1">
        <v>0.1</v>
      </c>
      <c r="K55" s="1">
        <v>0.32640000000000002</v>
      </c>
      <c r="L55" s="1" t="s">
        <v>30</v>
      </c>
      <c r="M55" s="3">
        <v>0.504</v>
      </c>
      <c r="N55" s="4">
        <v>6.88E-2</v>
      </c>
      <c r="O55" s="1">
        <v>6270</v>
      </c>
      <c r="P55" s="4">
        <v>0.20649999999999999</v>
      </c>
      <c r="Q55" s="4">
        <v>0.20649999999999999</v>
      </c>
      <c r="R55" s="5">
        <v>0.20649999999999999</v>
      </c>
      <c r="S55" s="3">
        <v>2414.16</v>
      </c>
      <c r="T55" s="4">
        <v>6.7000000000000002E-3</v>
      </c>
      <c r="U55" s="6">
        <v>0.10299999999999999</v>
      </c>
      <c r="V55" s="3">
        <v>241416</v>
      </c>
      <c r="W55" s="4">
        <v>6.7000000000000002E-3</v>
      </c>
      <c r="X55" s="6">
        <v>8.5999999999999993E-2</v>
      </c>
      <c r="Y55" s="3">
        <v>241416</v>
      </c>
      <c r="Z55" s="4">
        <v>6.7000000000000002E-3</v>
      </c>
      <c r="AA55" s="6">
        <v>8.5999999999999993E-2</v>
      </c>
    </row>
    <row r="56" spans="1:27" x14ac:dyDescent="0.3">
      <c r="A56" s="1"/>
      <c r="B56" s="1"/>
      <c r="C56" s="1">
        <v>809569667</v>
      </c>
      <c r="D56" s="1">
        <v>63542</v>
      </c>
      <c r="E56" s="1">
        <v>1</v>
      </c>
      <c r="F56" s="1">
        <v>22</v>
      </c>
      <c r="G56" s="1">
        <v>14</v>
      </c>
      <c r="H56" s="1">
        <v>6</v>
      </c>
      <c r="I56" s="1" t="s">
        <v>29</v>
      </c>
      <c r="J56" s="1">
        <v>0.35</v>
      </c>
      <c r="K56" s="1">
        <v>0.36959999999999998</v>
      </c>
      <c r="L56" s="1" t="s">
        <v>30</v>
      </c>
      <c r="M56" s="3"/>
      <c r="N56" s="1"/>
      <c r="O56" s="1"/>
      <c r="P56" s="1"/>
      <c r="Q56" s="1"/>
      <c r="R56" s="6"/>
      <c r="S56" s="3"/>
      <c r="T56" s="1"/>
      <c r="U56" s="6"/>
      <c r="V56" s="3"/>
      <c r="W56" s="1"/>
      <c r="X56" s="6"/>
      <c r="Y56" s="3"/>
      <c r="Z56" s="1"/>
      <c r="AA56" s="6"/>
    </row>
    <row r="57" spans="1:27" x14ac:dyDescent="0.3">
      <c r="A57" s="1"/>
      <c r="B57" s="1"/>
      <c r="C57" s="1">
        <v>809569667</v>
      </c>
      <c r="D57" s="1">
        <v>60254</v>
      </c>
      <c r="E57" s="1">
        <v>1</v>
      </c>
      <c r="F57" s="1">
        <v>17</v>
      </c>
      <c r="G57" s="1">
        <v>14</v>
      </c>
      <c r="H57" s="1">
        <v>5</v>
      </c>
      <c r="I57" s="1" t="s">
        <v>29</v>
      </c>
      <c r="J57" s="1">
        <v>0.1</v>
      </c>
      <c r="K57" s="1">
        <v>0.23799999999999999</v>
      </c>
      <c r="L57" s="1" t="s">
        <v>30</v>
      </c>
      <c r="M57" s="3">
        <v>0.51900000000000002</v>
      </c>
      <c r="N57" s="4">
        <v>0.38440000000000002</v>
      </c>
      <c r="O57" s="1">
        <v>4864</v>
      </c>
      <c r="P57" s="4">
        <v>0.38440000000000002</v>
      </c>
      <c r="Q57" s="4">
        <v>0.38440000000000002</v>
      </c>
      <c r="R57" s="5">
        <v>0.38440000000000002</v>
      </c>
      <c r="S57" s="3">
        <v>240010</v>
      </c>
      <c r="T57" s="4">
        <v>1.2500000000000001E-2</v>
      </c>
      <c r="U57" s="6">
        <v>0.108</v>
      </c>
      <c r="V57" s="3">
        <v>483058</v>
      </c>
      <c r="W57" s="4">
        <v>6.3E-3</v>
      </c>
      <c r="X57" s="6">
        <v>8.6999999999999994E-2</v>
      </c>
      <c r="Y57" s="3">
        <v>240010</v>
      </c>
      <c r="Z57" s="4">
        <v>1.2500000000000001E-2</v>
      </c>
      <c r="AA57" s="6">
        <v>8.5999999999999993E-2</v>
      </c>
    </row>
    <row r="58" spans="1:27" x14ac:dyDescent="0.3">
      <c r="A58" s="1"/>
      <c r="B58" s="1"/>
      <c r="C58" s="1">
        <v>809568610</v>
      </c>
      <c r="D58" s="1">
        <v>40303535</v>
      </c>
      <c r="E58" s="1">
        <v>1</v>
      </c>
      <c r="F58" s="1">
        <v>8</v>
      </c>
      <c r="G58" s="1">
        <v>8</v>
      </c>
      <c r="H58" s="1">
        <v>1</v>
      </c>
      <c r="I58" s="1" t="s">
        <v>29</v>
      </c>
      <c r="J58" s="1">
        <v>0.2</v>
      </c>
      <c r="K58" s="1">
        <v>1.2800000000000001E-2</v>
      </c>
      <c r="L58" s="1" t="s">
        <v>30</v>
      </c>
      <c r="M58" s="3"/>
      <c r="N58" s="1"/>
      <c r="O58" s="1"/>
      <c r="P58" s="1"/>
      <c r="Q58" s="1"/>
      <c r="R58" s="6"/>
      <c r="S58" s="3"/>
      <c r="T58" s="1"/>
      <c r="U58" s="6"/>
      <c r="V58" s="3"/>
      <c r="W58" s="1"/>
      <c r="X58" s="6"/>
      <c r="Y58" s="3"/>
      <c r="Z58" s="1"/>
      <c r="AA58" s="6"/>
    </row>
    <row r="59" spans="1:27" x14ac:dyDescent="0.3">
      <c r="A59" s="1"/>
      <c r="B59" s="1"/>
      <c r="C59" s="1">
        <v>809568610</v>
      </c>
      <c r="D59" s="1">
        <v>40202200</v>
      </c>
      <c r="E59" s="1">
        <v>1</v>
      </c>
      <c r="F59" s="1">
        <v>8</v>
      </c>
      <c r="G59" s="1">
        <v>8</v>
      </c>
      <c r="H59" s="1">
        <v>1</v>
      </c>
      <c r="I59" s="1" t="s">
        <v>29</v>
      </c>
      <c r="J59" s="1">
        <v>0.2</v>
      </c>
      <c r="K59" s="1">
        <v>1.2800000000000001E-2</v>
      </c>
      <c r="L59" s="1" t="s">
        <v>30</v>
      </c>
      <c r="M59" s="3"/>
      <c r="N59" s="1"/>
      <c r="O59" s="1"/>
      <c r="P59" s="1"/>
      <c r="Q59" s="1"/>
      <c r="R59" s="6"/>
      <c r="S59" s="3"/>
      <c r="T59" s="1"/>
      <c r="U59" s="6"/>
      <c r="V59" s="3"/>
      <c r="W59" s="1"/>
      <c r="X59" s="6"/>
      <c r="Y59" s="3"/>
      <c r="Z59" s="1"/>
      <c r="AA59" s="6"/>
    </row>
    <row r="60" spans="1:27" x14ac:dyDescent="0.3">
      <c r="A60" s="1"/>
      <c r="B60" s="1"/>
      <c r="C60" s="1">
        <v>809568610</v>
      </c>
      <c r="D60" s="1">
        <v>19050771</v>
      </c>
      <c r="E60" s="1">
        <v>1</v>
      </c>
      <c r="F60" s="1">
        <v>15</v>
      </c>
      <c r="G60" s="1">
        <v>7</v>
      </c>
      <c r="H60" s="1">
        <v>1</v>
      </c>
      <c r="I60" s="1" t="s">
        <v>29</v>
      </c>
      <c r="J60" s="1">
        <v>0.5</v>
      </c>
      <c r="K60" s="1">
        <v>2.1000000000000001E-2</v>
      </c>
      <c r="L60" s="1" t="s">
        <v>30</v>
      </c>
      <c r="M60" s="3">
        <v>0.57599999999999996</v>
      </c>
      <c r="N60" s="4">
        <v>2.9499999999999998E-2</v>
      </c>
      <c r="O60" s="1">
        <v>7669</v>
      </c>
      <c r="P60" s="1" t="s">
        <v>32</v>
      </c>
      <c r="Q60" s="4">
        <v>2.9499999999999998E-2</v>
      </c>
      <c r="R60" s="5">
        <v>2.9499999999999998E-2</v>
      </c>
      <c r="S60" s="3">
        <v>242815</v>
      </c>
      <c r="T60" s="4">
        <v>1E-3</v>
      </c>
      <c r="U60" s="6">
        <v>0.107</v>
      </c>
      <c r="V60" s="3">
        <v>728911</v>
      </c>
      <c r="W60" s="4">
        <v>2.9999999999999997E-4</v>
      </c>
      <c r="X60" s="6">
        <v>8.6999999999999994E-2</v>
      </c>
      <c r="Y60" s="3">
        <v>242815</v>
      </c>
      <c r="Z60" s="4">
        <v>1E-3</v>
      </c>
      <c r="AA60" s="6">
        <v>8.6999999999999994E-2</v>
      </c>
    </row>
    <row r="61" spans="1:27" x14ac:dyDescent="0.3">
      <c r="A61" s="1"/>
      <c r="B61" s="1"/>
      <c r="C61" s="1">
        <v>809568619</v>
      </c>
      <c r="D61" s="1">
        <v>40303535</v>
      </c>
      <c r="E61" s="1">
        <v>1</v>
      </c>
      <c r="F61" s="1">
        <v>8</v>
      </c>
      <c r="G61" s="1">
        <v>8</v>
      </c>
      <c r="H61" s="1">
        <v>1</v>
      </c>
      <c r="I61" s="1" t="s">
        <v>29</v>
      </c>
      <c r="J61" s="1">
        <v>0.2</v>
      </c>
      <c r="K61" s="1">
        <v>1.2800000000000001E-2</v>
      </c>
      <c r="L61" s="1" t="s">
        <v>30</v>
      </c>
      <c r="M61" s="3"/>
      <c r="N61" s="1"/>
      <c r="O61" s="1"/>
      <c r="P61" s="1"/>
      <c r="Q61" s="1"/>
      <c r="R61" s="6"/>
      <c r="S61" s="3"/>
      <c r="T61" s="1"/>
      <c r="U61" s="6"/>
      <c r="V61" s="3"/>
      <c r="W61" s="1"/>
      <c r="X61" s="6"/>
      <c r="Y61" s="3"/>
      <c r="Z61" s="1"/>
      <c r="AA61" s="6"/>
    </row>
    <row r="62" spans="1:27" x14ac:dyDescent="0.3">
      <c r="A62" s="1"/>
      <c r="B62" s="1"/>
      <c r="C62" s="1">
        <v>809568619</v>
      </c>
      <c r="D62" s="1">
        <v>29001320</v>
      </c>
      <c r="E62" s="1">
        <v>1</v>
      </c>
      <c r="F62" s="1">
        <v>8</v>
      </c>
      <c r="G62" s="1">
        <v>8</v>
      </c>
      <c r="H62" s="1">
        <v>1</v>
      </c>
      <c r="I62" s="1" t="s">
        <v>29</v>
      </c>
      <c r="J62" s="1">
        <v>0.2</v>
      </c>
      <c r="K62" s="1">
        <v>1.2800000000000001E-2</v>
      </c>
      <c r="L62" s="1" t="s">
        <v>30</v>
      </c>
      <c r="M62" s="3"/>
      <c r="N62" s="1"/>
      <c r="O62" s="1"/>
      <c r="P62" s="1"/>
      <c r="Q62" s="1"/>
      <c r="R62" s="6"/>
      <c r="S62" s="3"/>
      <c r="T62" s="1"/>
      <c r="U62" s="6"/>
      <c r="V62" s="3"/>
      <c r="W62" s="1"/>
      <c r="X62" s="6"/>
      <c r="Y62" s="3"/>
      <c r="Z62" s="1"/>
      <c r="AA62" s="6"/>
    </row>
    <row r="63" spans="1:27" x14ac:dyDescent="0.3">
      <c r="A63" s="1"/>
      <c r="B63" s="1"/>
      <c r="C63" s="1">
        <v>809569469</v>
      </c>
      <c r="D63" s="1">
        <v>28113197</v>
      </c>
      <c r="E63" s="1">
        <v>2</v>
      </c>
      <c r="F63" s="1">
        <v>10</v>
      </c>
      <c r="G63" s="1">
        <v>8</v>
      </c>
      <c r="H63" s="1">
        <v>1</v>
      </c>
      <c r="I63" s="1" t="s">
        <v>29</v>
      </c>
      <c r="J63" s="1">
        <v>0.6</v>
      </c>
      <c r="K63" s="1">
        <v>3.2000000000000001E-2</v>
      </c>
      <c r="L63" s="1" t="s">
        <v>30</v>
      </c>
      <c r="M63" s="3">
        <v>0.89300000000000002</v>
      </c>
      <c r="N63" s="4">
        <v>6.88E-2</v>
      </c>
      <c r="O63" s="1">
        <v>7358</v>
      </c>
      <c r="P63" s="1" t="s">
        <v>32</v>
      </c>
      <c r="Q63" s="4">
        <v>6.88E-2</v>
      </c>
      <c r="R63" s="5">
        <v>6.88E-2</v>
      </c>
      <c r="S63" s="3">
        <v>242504</v>
      </c>
      <c r="T63" s="4">
        <v>2.2000000000000001E-3</v>
      </c>
      <c r="U63" s="6">
        <v>0.11</v>
      </c>
      <c r="V63" s="3">
        <v>242728</v>
      </c>
      <c r="W63" s="4">
        <v>1.2999999999999999E-3</v>
      </c>
      <c r="X63" s="6">
        <v>8.6999999999999994E-2</v>
      </c>
      <c r="Y63" s="3">
        <v>242728</v>
      </c>
      <c r="Z63" s="4">
        <v>1.2999999999999999E-3</v>
      </c>
      <c r="AA63" s="6">
        <v>8.6999999999999994E-2</v>
      </c>
    </row>
    <row r="64" spans="1:27" x14ac:dyDescent="0.3">
      <c r="A64" s="1"/>
      <c r="B64" s="1"/>
      <c r="C64" s="1">
        <v>809569469</v>
      </c>
      <c r="D64" s="1">
        <v>28113196</v>
      </c>
      <c r="E64" s="1">
        <v>2</v>
      </c>
      <c r="F64" s="1">
        <v>16</v>
      </c>
      <c r="G64" s="1">
        <v>12</v>
      </c>
      <c r="H64" s="1">
        <v>1</v>
      </c>
      <c r="I64" s="1" t="s">
        <v>29</v>
      </c>
      <c r="J64" s="1">
        <v>0.6</v>
      </c>
      <c r="K64" s="1">
        <v>7.6799999999999993E-2</v>
      </c>
      <c r="L64" s="1" t="s">
        <v>30</v>
      </c>
      <c r="M64" s="3"/>
      <c r="N64" s="1"/>
      <c r="O64" s="1"/>
      <c r="P64" s="1"/>
      <c r="Q64" s="1"/>
      <c r="R64" s="6"/>
      <c r="S64" s="3"/>
      <c r="T64" s="1"/>
      <c r="U64" s="6"/>
      <c r="V64" s="3"/>
      <c r="W64" s="1"/>
      <c r="X64" s="6"/>
      <c r="Y64" s="3"/>
      <c r="Z64" s="1"/>
      <c r="AA64" s="6"/>
    </row>
    <row r="65" spans="1:27" x14ac:dyDescent="0.3">
      <c r="A65" s="1"/>
      <c r="B65" s="1"/>
      <c r="C65" s="1">
        <v>809569858</v>
      </c>
      <c r="D65" s="1" t="s">
        <v>69</v>
      </c>
      <c r="E65" s="1">
        <v>4</v>
      </c>
      <c r="F65" s="1">
        <v>20</v>
      </c>
      <c r="G65" s="1">
        <v>18</v>
      </c>
      <c r="H65" s="1">
        <v>4</v>
      </c>
      <c r="I65" s="1" t="s">
        <v>29</v>
      </c>
      <c r="J65" s="1">
        <v>1</v>
      </c>
      <c r="K65" s="1">
        <v>1.1519999999999999</v>
      </c>
      <c r="L65" s="1" t="s">
        <v>30</v>
      </c>
      <c r="M65" s="3"/>
      <c r="N65" s="1"/>
      <c r="O65" s="1"/>
      <c r="P65" s="1"/>
      <c r="Q65" s="1"/>
      <c r="R65" s="6"/>
      <c r="S65" s="3"/>
      <c r="T65" s="4">
        <v>3.4000000000000002E-2</v>
      </c>
      <c r="U65" s="6"/>
      <c r="V65" s="3"/>
      <c r="W65" s="4">
        <v>4.1500000000000002E-2</v>
      </c>
      <c r="X65" s="6"/>
      <c r="Y65" s="3"/>
      <c r="Z65" s="4">
        <v>8.2900000000000001E-2</v>
      </c>
      <c r="AA65" s="6"/>
    </row>
    <row r="66" spans="1:27" x14ac:dyDescent="0.3">
      <c r="A66" s="1"/>
      <c r="B66" s="1"/>
      <c r="C66" s="1">
        <v>809569858</v>
      </c>
      <c r="D66" s="1" t="s">
        <v>70</v>
      </c>
      <c r="E66" s="1">
        <v>5</v>
      </c>
      <c r="F66" s="1">
        <v>15</v>
      </c>
      <c r="G66" s="1">
        <v>12</v>
      </c>
      <c r="H66" s="1">
        <v>1</v>
      </c>
      <c r="I66" s="1" t="s">
        <v>29</v>
      </c>
      <c r="J66" s="1">
        <v>0.03</v>
      </c>
      <c r="K66" s="1">
        <v>0.18</v>
      </c>
      <c r="L66" s="1" t="s">
        <v>30</v>
      </c>
      <c r="M66" s="3"/>
      <c r="N66" s="1"/>
      <c r="O66" s="1"/>
      <c r="P66" s="1"/>
      <c r="Q66" s="1"/>
      <c r="R66" s="6"/>
      <c r="S66" s="3"/>
      <c r="T66" s="1"/>
      <c r="U66" s="6"/>
      <c r="V66" s="3"/>
      <c r="W66" s="1"/>
      <c r="X66" s="6"/>
      <c r="Y66" s="3"/>
      <c r="Z66" s="1"/>
      <c r="AA66" s="6"/>
    </row>
    <row r="67" spans="1:27" x14ac:dyDescent="0.3">
      <c r="A67" s="1"/>
      <c r="B67" s="1"/>
      <c r="C67" s="1">
        <v>809569858</v>
      </c>
      <c r="D67" s="1">
        <v>9350025</v>
      </c>
      <c r="E67" s="1">
        <v>5</v>
      </c>
      <c r="F67" s="1">
        <v>20</v>
      </c>
      <c r="G67" s="1">
        <v>16</v>
      </c>
      <c r="H67" s="1">
        <v>1</v>
      </c>
      <c r="I67" s="1" t="s">
        <v>29</v>
      </c>
      <c r="J67" s="1">
        <v>0.04</v>
      </c>
      <c r="K67" s="1">
        <v>0.32</v>
      </c>
      <c r="L67" s="1" t="s">
        <v>30</v>
      </c>
      <c r="M67" s="3"/>
      <c r="N67" s="1"/>
      <c r="O67" s="1"/>
      <c r="P67" s="1"/>
      <c r="Q67" s="1"/>
      <c r="R67" s="6"/>
      <c r="S67" s="3"/>
      <c r="T67" s="1"/>
      <c r="U67" s="6"/>
      <c r="V67" s="3"/>
      <c r="W67" s="1"/>
      <c r="X67" s="6"/>
      <c r="Y67" s="3"/>
      <c r="Z67" s="1"/>
      <c r="AA67" s="6"/>
    </row>
    <row r="68" spans="1:27" x14ac:dyDescent="0.3">
      <c r="A68" s="1"/>
      <c r="B68" s="1"/>
      <c r="C68" s="1">
        <v>809569649</v>
      </c>
      <c r="D68" s="1" t="s">
        <v>71</v>
      </c>
      <c r="E68" s="1">
        <v>1</v>
      </c>
      <c r="F68" s="1">
        <v>18</v>
      </c>
      <c r="G68" s="1">
        <v>16</v>
      </c>
      <c r="H68" s="1">
        <v>6</v>
      </c>
      <c r="I68" s="1" t="s">
        <v>29</v>
      </c>
      <c r="J68" s="1">
        <v>0.6</v>
      </c>
      <c r="K68" s="1">
        <v>0.34560000000000002</v>
      </c>
      <c r="L68" s="1" t="s">
        <v>30</v>
      </c>
      <c r="M68" s="3">
        <v>0.59599999999999997</v>
      </c>
      <c r="N68" s="4">
        <v>0.29189999999999999</v>
      </c>
      <c r="O68" s="1">
        <v>5595</v>
      </c>
      <c r="P68" s="4">
        <v>0.29189999999999999</v>
      </c>
      <c r="Q68" s="4">
        <v>0.29189999999999999</v>
      </c>
      <c r="R68" s="5">
        <v>0.29189999999999999</v>
      </c>
      <c r="S68" s="3">
        <v>240741</v>
      </c>
      <c r="T68" s="4">
        <v>9.4999999999999998E-3</v>
      </c>
      <c r="U68" s="6">
        <v>0.108</v>
      </c>
      <c r="V68" s="3">
        <v>726837</v>
      </c>
      <c r="W68" s="4">
        <v>3.2000000000000002E-3</v>
      </c>
      <c r="X68" s="6">
        <v>8.7999999999999995E-2</v>
      </c>
      <c r="Y68" s="3">
        <v>240741</v>
      </c>
      <c r="Z68" s="4">
        <v>9.4999999999999998E-3</v>
      </c>
      <c r="AA68" s="6">
        <v>8.6999999999999994E-2</v>
      </c>
    </row>
    <row r="69" spans="1:27" x14ac:dyDescent="0.3">
      <c r="A69" s="1"/>
      <c r="B69" s="1"/>
      <c r="C69" s="1">
        <v>809569649</v>
      </c>
      <c r="D69" s="1" t="s">
        <v>72</v>
      </c>
      <c r="E69" s="1">
        <v>1</v>
      </c>
      <c r="F69" s="1">
        <v>15</v>
      </c>
      <c r="G69" s="1">
        <v>13</v>
      </c>
      <c r="H69" s="1">
        <v>1</v>
      </c>
      <c r="I69" s="1" t="s">
        <v>29</v>
      </c>
      <c r="J69" s="1">
        <v>0.03</v>
      </c>
      <c r="K69" s="1">
        <v>3.9E-2</v>
      </c>
      <c r="L69" s="1" t="s">
        <v>30</v>
      </c>
      <c r="M69" s="3"/>
      <c r="N69" s="1"/>
      <c r="O69" s="1"/>
      <c r="P69" s="1"/>
      <c r="Q69" s="1"/>
      <c r="R69" s="6"/>
      <c r="S69" s="3"/>
      <c r="T69" s="1"/>
      <c r="U69" s="6"/>
      <c r="V69" s="3"/>
      <c r="W69" s="1"/>
      <c r="X69" s="6"/>
      <c r="Y69" s="3"/>
      <c r="Z69" s="1"/>
      <c r="AA69" s="6"/>
    </row>
    <row r="70" spans="1:27" x14ac:dyDescent="0.3">
      <c r="A70" s="1"/>
      <c r="B70" s="1"/>
      <c r="C70" s="1">
        <v>809569649</v>
      </c>
      <c r="D70" s="1" t="s">
        <v>73</v>
      </c>
      <c r="E70" s="1">
        <v>1</v>
      </c>
      <c r="F70" s="1">
        <v>8</v>
      </c>
      <c r="G70" s="1">
        <v>8</v>
      </c>
      <c r="H70" s="1">
        <v>6</v>
      </c>
      <c r="I70" s="1" t="s">
        <v>29</v>
      </c>
      <c r="J70" s="1">
        <v>0.01</v>
      </c>
      <c r="K70" s="1">
        <v>7.6799999999999993E-2</v>
      </c>
      <c r="L70" s="1" t="s">
        <v>30</v>
      </c>
      <c r="M70" s="3"/>
      <c r="N70" s="1"/>
      <c r="O70" s="1"/>
      <c r="P70" s="1"/>
      <c r="Q70" s="1"/>
      <c r="R70" s="6"/>
      <c r="S70" s="3"/>
      <c r="T70" s="1"/>
      <c r="U70" s="6"/>
      <c r="V70" s="3"/>
      <c r="W70" s="1"/>
      <c r="X70" s="6"/>
      <c r="Y70" s="3"/>
      <c r="Z70" s="1"/>
      <c r="AA70" s="6"/>
    </row>
    <row r="71" spans="1:27" x14ac:dyDescent="0.3">
      <c r="A71" s="1"/>
      <c r="B71" s="1"/>
      <c r="C71" s="1">
        <v>809579916</v>
      </c>
      <c r="D71" s="1">
        <v>24985</v>
      </c>
      <c r="E71" s="1">
        <v>5</v>
      </c>
      <c r="F71" s="1">
        <v>8</v>
      </c>
      <c r="G71" s="1">
        <v>8</v>
      </c>
      <c r="H71" s="1">
        <v>14</v>
      </c>
      <c r="I71" s="1" t="s">
        <v>29</v>
      </c>
      <c r="J71" s="1">
        <v>0.5</v>
      </c>
      <c r="K71" s="1">
        <v>0.89600000000000002</v>
      </c>
      <c r="L71" s="1" t="s">
        <v>30</v>
      </c>
      <c r="M71" s="3"/>
      <c r="N71" s="1"/>
      <c r="O71" s="1"/>
      <c r="P71" s="1"/>
      <c r="Q71" s="1"/>
      <c r="R71" s="6"/>
      <c r="S71" s="3"/>
      <c r="T71" s="1"/>
      <c r="U71" s="6"/>
      <c r="V71" s="3"/>
      <c r="W71" s="1"/>
      <c r="X71" s="6"/>
      <c r="Y71" s="3"/>
      <c r="Z71" s="1"/>
      <c r="AA71" s="6"/>
    </row>
    <row r="72" spans="1:27" x14ac:dyDescent="0.3">
      <c r="A72" s="1"/>
      <c r="B72" s="1"/>
      <c r="C72" s="1">
        <v>809580558</v>
      </c>
      <c r="D72" s="1">
        <v>21235</v>
      </c>
      <c r="E72" s="1">
        <v>2</v>
      </c>
      <c r="F72" s="1">
        <v>9</v>
      </c>
      <c r="G72" s="1">
        <v>9</v>
      </c>
      <c r="H72" s="1">
        <v>16</v>
      </c>
      <c r="I72" s="1" t="s">
        <v>29</v>
      </c>
      <c r="J72" s="1">
        <v>0.5</v>
      </c>
      <c r="K72" s="1">
        <v>0.51839999999999997</v>
      </c>
      <c r="L72" s="1" t="s">
        <v>30</v>
      </c>
      <c r="M72" s="3"/>
      <c r="N72" s="1"/>
      <c r="O72" s="1"/>
      <c r="P72" s="1"/>
      <c r="Q72" s="1"/>
      <c r="R72" s="6"/>
      <c r="S72" s="3"/>
      <c r="T72" s="1"/>
      <c r="U72" s="6"/>
      <c r="V72" s="3"/>
      <c r="W72" s="1"/>
      <c r="X72" s="6"/>
      <c r="Y72" s="3"/>
      <c r="Z72" s="1"/>
      <c r="AA72" s="6"/>
    </row>
    <row r="73" spans="1:27" x14ac:dyDescent="0.3">
      <c r="A73" s="1"/>
      <c r="B73" s="1"/>
      <c r="C73" s="1">
        <v>809580564</v>
      </c>
      <c r="D73" s="1">
        <v>22585</v>
      </c>
      <c r="E73" s="1">
        <v>6</v>
      </c>
      <c r="F73" s="1">
        <v>8</v>
      </c>
      <c r="G73" s="1">
        <v>8</v>
      </c>
      <c r="H73" s="1">
        <v>14</v>
      </c>
      <c r="I73" s="1" t="s">
        <v>29</v>
      </c>
      <c r="J73" s="1">
        <v>0.5</v>
      </c>
      <c r="K73" s="1">
        <v>1.0751999999999999</v>
      </c>
      <c r="L73" s="1" t="s">
        <v>30</v>
      </c>
      <c r="M73" s="3">
        <v>1.4019999999999999</v>
      </c>
      <c r="N73" s="4">
        <v>0.68030000000000002</v>
      </c>
      <c r="O73" s="1">
        <v>2526</v>
      </c>
      <c r="P73" s="4">
        <v>0.68030000000000002</v>
      </c>
      <c r="Q73" s="4">
        <v>0.68030000000000002</v>
      </c>
      <c r="R73" s="5">
        <v>0.68030000000000002</v>
      </c>
      <c r="S73" s="3">
        <v>237672</v>
      </c>
      <c r="T73" s="4">
        <v>2.2100000000000002E-2</v>
      </c>
      <c r="U73" s="6">
        <v>0.11700000000000001</v>
      </c>
      <c r="V73" s="3">
        <v>237672</v>
      </c>
      <c r="W73" s="4">
        <v>2.2100000000000002E-2</v>
      </c>
      <c r="X73" s="6">
        <v>8.6999999999999994E-2</v>
      </c>
      <c r="Y73" s="3"/>
      <c r="Z73" s="1" t="s">
        <v>38</v>
      </c>
      <c r="AA73" s="6"/>
    </row>
    <row r="74" spans="1:27" x14ac:dyDescent="0.3">
      <c r="A74" s="1"/>
      <c r="B74" s="1"/>
      <c r="C74" s="1">
        <v>809580555</v>
      </c>
      <c r="D74" s="1">
        <v>43956</v>
      </c>
      <c r="E74" s="1">
        <v>10</v>
      </c>
      <c r="F74" s="1">
        <v>27</v>
      </c>
      <c r="G74" s="1">
        <v>36</v>
      </c>
      <c r="H74" s="1">
        <v>23</v>
      </c>
      <c r="I74" s="1" t="s">
        <v>29</v>
      </c>
      <c r="J74" s="1">
        <v>1</v>
      </c>
      <c r="K74" s="1">
        <v>44.712000000000003</v>
      </c>
      <c r="L74" s="1" t="s">
        <v>30</v>
      </c>
      <c r="M74" s="3"/>
      <c r="N74" s="1"/>
      <c r="O74" s="1"/>
      <c r="P74" s="1"/>
      <c r="Q74" s="1"/>
      <c r="R74" s="6"/>
      <c r="S74" s="3"/>
      <c r="T74" s="1"/>
      <c r="U74" s="6"/>
      <c r="V74" s="3"/>
      <c r="W74" s="1"/>
      <c r="X74" s="6"/>
      <c r="Y74" s="3"/>
      <c r="Z74" s="1"/>
      <c r="AA74" s="6"/>
    </row>
    <row r="75" spans="1:27" x14ac:dyDescent="0.3">
      <c r="A75" s="1"/>
      <c r="B75" s="1"/>
      <c r="C75" s="1">
        <v>809581075</v>
      </c>
      <c r="D75" s="1">
        <v>39672</v>
      </c>
      <c r="E75" s="1">
        <v>1</v>
      </c>
      <c r="F75" s="1">
        <v>5</v>
      </c>
      <c r="G75" s="1">
        <v>5</v>
      </c>
      <c r="H75" s="1">
        <v>8</v>
      </c>
      <c r="I75" s="1" t="s">
        <v>29</v>
      </c>
      <c r="J75" s="1">
        <v>2.5000000000000001E-2</v>
      </c>
      <c r="K75" s="1">
        <v>0.04</v>
      </c>
      <c r="L75" s="1" t="s">
        <v>30</v>
      </c>
      <c r="M75" s="3">
        <v>0.40300000000000002</v>
      </c>
      <c r="N75" s="4">
        <v>0.1893</v>
      </c>
      <c r="O75" s="1">
        <v>6406</v>
      </c>
      <c r="P75" s="4">
        <v>0.1893</v>
      </c>
      <c r="Q75" s="4">
        <v>0.1893</v>
      </c>
      <c r="R75" s="5">
        <v>0.1893</v>
      </c>
      <c r="S75" s="3">
        <v>241552</v>
      </c>
      <c r="T75" s="4">
        <v>6.1999999999999998E-3</v>
      </c>
      <c r="U75" s="6">
        <v>0.106</v>
      </c>
      <c r="V75" s="3">
        <v>484600</v>
      </c>
      <c r="W75" s="4">
        <v>3.0999999999999999E-3</v>
      </c>
      <c r="X75" s="6">
        <v>8.6999999999999994E-2</v>
      </c>
      <c r="Y75" s="3">
        <v>242848</v>
      </c>
      <c r="Z75" s="4">
        <v>8.0000000000000004E-4</v>
      </c>
      <c r="AA75" s="6">
        <v>8.6999999999999994E-2</v>
      </c>
    </row>
    <row r="76" spans="1:27" x14ac:dyDescent="0.3">
      <c r="A76" s="1"/>
      <c r="B76" s="1"/>
      <c r="C76" s="1">
        <v>809581075</v>
      </c>
      <c r="D76" s="1">
        <v>27555</v>
      </c>
      <c r="E76" s="1">
        <v>1</v>
      </c>
      <c r="F76" s="1">
        <v>9</v>
      </c>
      <c r="G76" s="1">
        <v>9</v>
      </c>
      <c r="H76" s="1">
        <v>16</v>
      </c>
      <c r="I76" s="1" t="s">
        <v>29</v>
      </c>
      <c r="J76" s="1">
        <v>0.5</v>
      </c>
      <c r="K76" s="1">
        <v>0.25919999999999999</v>
      </c>
      <c r="L76" s="1" t="s">
        <v>30</v>
      </c>
      <c r="M76" s="3"/>
      <c r="N76" s="1"/>
      <c r="O76" s="1"/>
      <c r="P76" s="1"/>
      <c r="Q76" s="1"/>
      <c r="R76" s="6"/>
      <c r="S76" s="3"/>
      <c r="T76" s="1"/>
      <c r="U76" s="6"/>
      <c r="V76" s="3"/>
      <c r="W76" s="1"/>
      <c r="X76" s="6"/>
      <c r="Y76" s="3"/>
      <c r="Z76" s="1"/>
      <c r="AA76" s="6"/>
    </row>
    <row r="77" spans="1:27" x14ac:dyDescent="0.3">
      <c r="A77" s="1"/>
      <c r="B77" s="1"/>
      <c r="C77" s="1">
        <v>809580559</v>
      </c>
      <c r="D77" s="1">
        <v>18764</v>
      </c>
      <c r="E77" s="1">
        <v>4</v>
      </c>
      <c r="F77" s="1">
        <v>7</v>
      </c>
      <c r="G77" s="1">
        <v>7</v>
      </c>
      <c r="H77" s="1">
        <v>13</v>
      </c>
      <c r="I77" s="1" t="s">
        <v>29</v>
      </c>
      <c r="J77" s="1">
        <v>0.1</v>
      </c>
      <c r="K77" s="1">
        <v>0.50960000000000005</v>
      </c>
      <c r="L77" s="1" t="s">
        <v>30</v>
      </c>
      <c r="M77" s="3">
        <v>0.85499999999999998</v>
      </c>
      <c r="N77" s="4">
        <v>0.32240000000000002</v>
      </c>
      <c r="O77" s="1">
        <v>5354</v>
      </c>
      <c r="P77" s="4">
        <v>0.32240000000000002</v>
      </c>
      <c r="Q77" s="4">
        <v>0.32240000000000002</v>
      </c>
      <c r="R77" s="5">
        <v>0.32240000000000002</v>
      </c>
      <c r="S77" s="3">
        <f>240500</f>
        <v>240500</v>
      </c>
      <c r="T77" s="4">
        <v>1.0500000000000001E-2</v>
      </c>
      <c r="U77" s="6">
        <f>0.11</f>
        <v>0.11</v>
      </c>
      <c r="V77" s="3">
        <f>240500</f>
        <v>240500</v>
      </c>
      <c r="W77" s="4">
        <v>1.0500000000000001E-2</v>
      </c>
      <c r="X77" s="6">
        <v>8.6999999999999994E-2</v>
      </c>
      <c r="Y77" s="3">
        <f>240500</f>
        <v>240500</v>
      </c>
      <c r="Z77" s="4">
        <v>1.0500000000000001E-2</v>
      </c>
      <c r="AA77" s="6">
        <v>8.6999999999999994E-2</v>
      </c>
    </row>
    <row r="78" spans="1:27" x14ac:dyDescent="0.3">
      <c r="A78" s="1"/>
      <c r="B78" s="1"/>
      <c r="C78" s="1">
        <v>809581021</v>
      </c>
      <c r="D78" s="1">
        <v>28375</v>
      </c>
      <c r="E78" s="1">
        <v>1</v>
      </c>
      <c r="F78" s="1">
        <v>10</v>
      </c>
      <c r="G78" s="1">
        <v>10</v>
      </c>
      <c r="H78" s="1">
        <v>17</v>
      </c>
      <c r="I78" s="1" t="s">
        <v>29</v>
      </c>
      <c r="J78" s="1">
        <v>0.5</v>
      </c>
      <c r="K78" s="1">
        <v>0.34</v>
      </c>
      <c r="L78" s="1" t="s">
        <v>30</v>
      </c>
      <c r="M78" s="3">
        <v>0.56799999999999995</v>
      </c>
      <c r="N78" s="4">
        <v>0.40439999999999998</v>
      </c>
      <c r="O78" s="1">
        <v>4706</v>
      </c>
      <c r="P78" s="4">
        <v>0.40439999999999998</v>
      </c>
      <c r="Q78" s="4">
        <v>0.40439999999999998</v>
      </c>
      <c r="R78" s="5">
        <v>0.40439999999999998</v>
      </c>
      <c r="S78" s="3">
        <f>239852</f>
        <v>239852</v>
      </c>
      <c r="T78" s="4">
        <v>1.32E-2</v>
      </c>
      <c r="U78" s="6">
        <f>0.109</f>
        <v>0.109</v>
      </c>
      <c r="V78" s="3">
        <f>725948</f>
        <v>725948</v>
      </c>
      <c r="W78" s="4">
        <v>4.4000000000000003E-3</v>
      </c>
      <c r="X78" s="6">
        <v>8.6999999999999994E-2</v>
      </c>
      <c r="Y78" s="3"/>
      <c r="Z78" s="4" t="s">
        <v>38</v>
      </c>
      <c r="AA78" s="6"/>
    </row>
    <row r="79" spans="1:27" x14ac:dyDescent="0.3">
      <c r="A79" s="1"/>
      <c r="B79" s="1"/>
      <c r="C79" s="1">
        <v>809581021</v>
      </c>
      <c r="D79" s="1">
        <v>12155</v>
      </c>
      <c r="E79" s="1">
        <v>1</v>
      </c>
      <c r="F79" s="1">
        <v>9</v>
      </c>
      <c r="G79" s="1">
        <v>9</v>
      </c>
      <c r="H79" s="1">
        <v>16</v>
      </c>
      <c r="I79" s="1" t="s">
        <v>29</v>
      </c>
      <c r="J79" s="1">
        <v>0.5</v>
      </c>
      <c r="K79" s="1">
        <v>0.25919999999999999</v>
      </c>
      <c r="L79" s="1" t="s">
        <v>30</v>
      </c>
      <c r="M79" s="3"/>
      <c r="N79" s="1"/>
      <c r="O79" s="1"/>
      <c r="P79" s="1"/>
      <c r="Q79" s="1"/>
      <c r="R79" s="6"/>
      <c r="S79" s="3"/>
      <c r="T79" s="1"/>
      <c r="U79" s="6"/>
      <c r="V79" s="3"/>
      <c r="W79" s="1"/>
      <c r="X79" s="6"/>
      <c r="Y79" s="3"/>
      <c r="Z79" s="1"/>
      <c r="AA79" s="6"/>
    </row>
    <row r="80" spans="1:27" x14ac:dyDescent="0.3">
      <c r="A80" s="1"/>
      <c r="B80" s="1"/>
      <c r="C80" s="1">
        <v>809581021</v>
      </c>
      <c r="D80" s="1">
        <v>14223</v>
      </c>
      <c r="E80" s="1">
        <v>1</v>
      </c>
      <c r="F80" s="1">
        <v>5</v>
      </c>
      <c r="G80" s="1">
        <v>5</v>
      </c>
      <c r="H80" s="1">
        <v>8</v>
      </c>
      <c r="I80" s="1" t="s">
        <v>29</v>
      </c>
      <c r="J80" s="1">
        <v>0.1</v>
      </c>
      <c r="K80" s="1">
        <v>0.04</v>
      </c>
      <c r="L80" s="1" t="s">
        <v>30</v>
      </c>
      <c r="M80" s="3"/>
      <c r="N80" s="1"/>
      <c r="O80" s="1"/>
      <c r="P80" s="1"/>
      <c r="Q80" s="1"/>
      <c r="R80" s="6"/>
      <c r="S80" s="3"/>
      <c r="T80" s="1"/>
      <c r="U80" s="6"/>
      <c r="V80" s="3"/>
      <c r="W80" s="1"/>
      <c r="X80" s="6"/>
      <c r="Y80" s="3"/>
      <c r="Z80" s="1"/>
      <c r="AA80" s="6"/>
    </row>
    <row r="81" spans="1:27" x14ac:dyDescent="0.3">
      <c r="A81" s="1"/>
      <c r="B81" s="1"/>
      <c r="C81" s="1">
        <v>809578897</v>
      </c>
      <c r="D81" s="1" t="s">
        <v>74</v>
      </c>
      <c r="E81" s="1">
        <v>2</v>
      </c>
      <c r="F81" s="1">
        <v>8</v>
      </c>
      <c r="G81" s="1">
        <v>8</v>
      </c>
      <c r="H81" s="1">
        <v>9.5</v>
      </c>
      <c r="I81" s="1" t="s">
        <v>29</v>
      </c>
      <c r="J81" s="1">
        <v>0.04</v>
      </c>
      <c r="K81" s="1">
        <v>0.2432</v>
      </c>
      <c r="L81" s="1" t="s">
        <v>30</v>
      </c>
      <c r="M81" s="3">
        <f>0.444</f>
        <v>0.44400000000000001</v>
      </c>
      <c r="N81" s="4">
        <v>0.15390000000000001</v>
      </c>
      <c r="O81" s="1">
        <v>6686</v>
      </c>
      <c r="P81" s="4">
        <v>0.15390000000000001</v>
      </c>
      <c r="Q81" s="4">
        <v>0.15390000000000001</v>
      </c>
      <c r="R81" s="5">
        <v>0.15390000000000001</v>
      </c>
      <c r="S81" s="3">
        <f>241896</f>
        <v>241896</v>
      </c>
      <c r="T81" s="4">
        <v>4.7000000000000002E-3</v>
      </c>
      <c r="U81" s="6">
        <f>0.104</f>
        <v>0.104</v>
      </c>
      <c r="V81" s="3">
        <f>241800</f>
        <v>241800</v>
      </c>
      <c r="W81" s="4">
        <v>5.0000000000000001E-3</v>
      </c>
      <c r="X81" s="6">
        <f>X77</f>
        <v>8.6999999999999994E-2</v>
      </c>
      <c r="Y81" s="3">
        <f>241896</f>
        <v>241896</v>
      </c>
      <c r="Z81" s="4">
        <v>4.7000000000000002E-3</v>
      </c>
      <c r="AA81" s="6">
        <f>AA77</f>
        <v>8.6999999999999994E-2</v>
      </c>
    </row>
    <row r="82" spans="1:27" x14ac:dyDescent="0.3">
      <c r="A82" s="1"/>
      <c r="B82" s="1"/>
      <c r="C82" s="1">
        <v>809576611</v>
      </c>
      <c r="D82" s="1" t="s">
        <v>75</v>
      </c>
      <c r="E82" s="1">
        <v>1</v>
      </c>
      <c r="F82" s="1">
        <v>8</v>
      </c>
      <c r="G82" s="1">
        <v>8</v>
      </c>
      <c r="H82" s="1">
        <v>9.5</v>
      </c>
      <c r="I82" s="1" t="s">
        <v>29</v>
      </c>
      <c r="J82" s="1">
        <v>1</v>
      </c>
      <c r="K82" s="1">
        <v>0.1216</v>
      </c>
      <c r="L82" s="1" t="s">
        <v>30</v>
      </c>
      <c r="M82" s="3"/>
      <c r="N82" s="1"/>
      <c r="O82" s="1"/>
      <c r="P82" s="1"/>
      <c r="Q82" s="1"/>
      <c r="R82" s="6"/>
      <c r="S82" s="3"/>
      <c r="T82" s="1"/>
      <c r="U82" s="6"/>
      <c r="V82" s="3"/>
      <c r="W82" s="1"/>
      <c r="X82" s="6"/>
      <c r="Y82" s="3"/>
      <c r="Z82" s="1"/>
      <c r="AA82" s="6"/>
    </row>
    <row r="83" spans="1:27" x14ac:dyDescent="0.3">
      <c r="A83" s="1"/>
      <c r="B83" s="1"/>
      <c r="C83" s="1">
        <v>809576611</v>
      </c>
      <c r="D83" s="1" t="s">
        <v>75</v>
      </c>
      <c r="E83" s="1">
        <v>4</v>
      </c>
      <c r="F83" s="1">
        <v>8</v>
      </c>
      <c r="G83" s="1">
        <v>8</v>
      </c>
      <c r="H83" s="1">
        <v>9.5</v>
      </c>
      <c r="I83" s="1" t="s">
        <v>29</v>
      </c>
      <c r="J83" s="1">
        <v>1</v>
      </c>
      <c r="K83" s="1">
        <v>0.4864</v>
      </c>
      <c r="L83" s="1" t="s">
        <v>30</v>
      </c>
      <c r="M83" s="3"/>
      <c r="N83" s="1"/>
      <c r="O83" s="1"/>
      <c r="P83" s="1"/>
      <c r="Q83" s="1"/>
      <c r="R83" s="6"/>
      <c r="S83" s="3"/>
      <c r="T83" s="1"/>
      <c r="U83" s="6"/>
      <c r="V83" s="3"/>
      <c r="W83" s="1"/>
      <c r="X83" s="6"/>
      <c r="Y83" s="3"/>
      <c r="Z83" s="1"/>
      <c r="AA83" s="6"/>
    </row>
    <row r="84" spans="1:27" x14ac:dyDescent="0.3">
      <c r="A84" s="1"/>
      <c r="B84" s="1"/>
      <c r="C84" s="1">
        <v>809575177</v>
      </c>
      <c r="D84" s="1" t="s">
        <v>76</v>
      </c>
      <c r="E84" s="1">
        <v>2</v>
      </c>
      <c r="F84" s="1">
        <v>8</v>
      </c>
      <c r="G84" s="1">
        <v>8</v>
      </c>
      <c r="H84" s="1">
        <v>9.5</v>
      </c>
      <c r="I84" s="1" t="s">
        <v>29</v>
      </c>
      <c r="J84" s="1">
        <v>1.7</v>
      </c>
      <c r="K84" s="1">
        <v>0.2432</v>
      </c>
      <c r="L84" s="1" t="s">
        <v>30</v>
      </c>
      <c r="M84" s="3"/>
      <c r="N84" s="1"/>
      <c r="O84" s="1"/>
      <c r="P84" s="1"/>
      <c r="Q84" s="1"/>
      <c r="R84" s="6"/>
      <c r="S84" s="3"/>
      <c r="T84" s="1"/>
      <c r="U84" s="6"/>
      <c r="V84" s="3"/>
      <c r="W84" s="1"/>
      <c r="X84" s="6"/>
      <c r="Y84" s="3"/>
      <c r="Z84" s="1"/>
      <c r="AA84" s="6"/>
    </row>
    <row r="85" spans="1:27" x14ac:dyDescent="0.3">
      <c r="A85" s="1"/>
      <c r="B85" s="1"/>
      <c r="C85" s="1">
        <v>809579277</v>
      </c>
      <c r="D85" s="1" t="s">
        <v>77</v>
      </c>
      <c r="E85" s="1">
        <v>4</v>
      </c>
      <c r="F85" s="1">
        <v>8</v>
      </c>
      <c r="G85" s="1">
        <v>8</v>
      </c>
      <c r="H85" s="1">
        <v>9.5</v>
      </c>
      <c r="I85" s="1" t="s">
        <v>29</v>
      </c>
      <c r="J85" s="1">
        <v>1</v>
      </c>
      <c r="K85" s="1">
        <v>0.4864</v>
      </c>
      <c r="L85" s="1" t="s">
        <v>30</v>
      </c>
      <c r="M85" s="3"/>
      <c r="N85" s="1"/>
      <c r="O85" s="1"/>
      <c r="P85" s="1"/>
      <c r="Q85" s="1"/>
      <c r="R85" s="6"/>
      <c r="S85" s="3"/>
      <c r="T85" s="1"/>
      <c r="U85" s="6"/>
      <c r="V85" s="3"/>
      <c r="W85" s="1"/>
      <c r="X85" s="6"/>
      <c r="Y85" s="3"/>
      <c r="Z85" s="1"/>
      <c r="AA85" s="6"/>
    </row>
    <row r="86" spans="1:27" x14ac:dyDescent="0.3">
      <c r="A86" s="1"/>
      <c r="B86" s="1"/>
      <c r="C86" s="1">
        <v>809578896</v>
      </c>
      <c r="D86" s="1" t="s">
        <v>74</v>
      </c>
      <c r="E86" s="1">
        <v>2</v>
      </c>
      <c r="F86" s="1">
        <v>8</v>
      </c>
      <c r="G86" s="1">
        <v>8</v>
      </c>
      <c r="H86" s="1">
        <v>9.5</v>
      </c>
      <c r="I86" s="1" t="s">
        <v>29</v>
      </c>
      <c r="J86" s="1">
        <v>1</v>
      </c>
      <c r="K86" s="1">
        <v>0.2432</v>
      </c>
      <c r="L86" s="1" t="s">
        <v>30</v>
      </c>
      <c r="M86" s="3"/>
      <c r="N86" s="1"/>
      <c r="O86" s="1"/>
      <c r="P86" s="1"/>
      <c r="Q86" s="1"/>
      <c r="R86" s="6"/>
      <c r="S86" s="3"/>
      <c r="T86" s="1"/>
      <c r="U86" s="6"/>
      <c r="V86" s="3"/>
      <c r="W86" s="1"/>
      <c r="X86" s="6"/>
      <c r="Y86" s="3"/>
      <c r="Z86" s="1"/>
      <c r="AA86" s="6"/>
    </row>
    <row r="87" spans="1:27" x14ac:dyDescent="0.3">
      <c r="A87" s="1"/>
      <c r="B87" s="1"/>
      <c r="C87" s="1">
        <v>809580557</v>
      </c>
      <c r="D87" s="1" t="s">
        <v>78</v>
      </c>
      <c r="E87" s="1">
        <v>1</v>
      </c>
      <c r="F87" s="1">
        <v>8</v>
      </c>
      <c r="G87" s="1">
        <v>8</v>
      </c>
      <c r="H87" s="1">
        <v>9.5</v>
      </c>
      <c r="I87" s="1" t="s">
        <v>29</v>
      </c>
      <c r="J87" s="1">
        <v>1</v>
      </c>
      <c r="K87" s="1">
        <v>0.1216</v>
      </c>
      <c r="L87" s="1" t="s">
        <v>30</v>
      </c>
      <c r="M87" s="3"/>
      <c r="N87" s="1"/>
      <c r="O87" s="1"/>
      <c r="P87" s="1"/>
      <c r="Q87" s="1"/>
      <c r="R87" s="6"/>
      <c r="S87" s="3"/>
      <c r="T87" s="1"/>
      <c r="U87" s="6"/>
      <c r="V87" s="3"/>
      <c r="W87" s="1"/>
      <c r="X87" s="6"/>
      <c r="Y87" s="3"/>
      <c r="Z87" s="1"/>
      <c r="AA87" s="6"/>
    </row>
    <row r="88" spans="1:27" x14ac:dyDescent="0.3">
      <c r="A88" s="1"/>
      <c r="B88" s="1"/>
      <c r="C88" s="1">
        <v>809580204</v>
      </c>
      <c r="D88" s="1" t="s">
        <v>79</v>
      </c>
      <c r="E88" s="1">
        <v>10</v>
      </c>
      <c r="F88" s="1">
        <v>11</v>
      </c>
      <c r="G88" s="1">
        <v>9</v>
      </c>
      <c r="H88" s="1">
        <v>6</v>
      </c>
      <c r="I88" s="1" t="s">
        <v>29</v>
      </c>
      <c r="J88" s="1">
        <v>0.19</v>
      </c>
      <c r="K88" s="1">
        <v>1.1879999999999999</v>
      </c>
      <c r="L88" s="1" t="s">
        <v>30</v>
      </c>
      <c r="M88" s="3"/>
      <c r="N88" s="1"/>
      <c r="O88" s="1"/>
      <c r="P88" s="1"/>
      <c r="Q88" s="1"/>
      <c r="R88" s="6"/>
      <c r="S88" s="3"/>
      <c r="T88" s="1"/>
      <c r="U88" s="6"/>
      <c r="V88" s="3"/>
      <c r="W88" s="1"/>
      <c r="X88" s="6"/>
      <c r="Y88" s="3"/>
      <c r="Z88" s="1"/>
      <c r="AA88" s="6"/>
    </row>
    <row r="89" spans="1:27" x14ac:dyDescent="0.3">
      <c r="A89" s="1"/>
      <c r="B89" s="1"/>
      <c r="C89" s="1">
        <v>809580569</v>
      </c>
      <c r="D89" s="1" t="s">
        <v>80</v>
      </c>
      <c r="E89" s="1">
        <v>5</v>
      </c>
      <c r="F89" s="1">
        <v>13</v>
      </c>
      <c r="G89" s="1">
        <v>13</v>
      </c>
      <c r="H89" s="1">
        <v>10</v>
      </c>
      <c r="I89" s="1" t="s">
        <v>29</v>
      </c>
      <c r="J89" s="1">
        <v>1.5</v>
      </c>
      <c r="K89" s="1">
        <v>1.69</v>
      </c>
      <c r="L89" s="1" t="s">
        <v>30</v>
      </c>
      <c r="M89" s="3"/>
      <c r="N89" s="1"/>
      <c r="O89" s="1"/>
      <c r="P89" s="1"/>
      <c r="Q89" s="1"/>
      <c r="R89" s="6"/>
      <c r="S89" s="3"/>
      <c r="T89" s="1"/>
      <c r="U89" s="6"/>
      <c r="V89" s="3"/>
      <c r="W89" s="1"/>
      <c r="X89" s="6"/>
      <c r="Y89" s="3"/>
      <c r="Z89" s="1"/>
      <c r="AA89" s="6"/>
    </row>
  </sheetData>
  <mergeCells count="1">
    <mergeCell ref="M3:R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Picklist_Data_results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Nirvan</dc:creator>
  <cp:lastModifiedBy>Nirvan Nagrale</cp:lastModifiedBy>
  <dcterms:created xsi:type="dcterms:W3CDTF">2025-09-23T18:49:14Z</dcterms:created>
  <dcterms:modified xsi:type="dcterms:W3CDTF">2025-09-24T02:41:52Z</dcterms:modified>
</cp:coreProperties>
</file>