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imension Data" sheetId="1" state="visible" r:id="rId3"/>
    <sheet name="Required combinations" sheetId="2" state="visible" r:id="rId4"/>
    <sheet name="DFC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<sst xmlns="http://schemas.openxmlformats.org/spreadsheetml/2006/main" count="443" uniqueCount="96">
  <si>
    <t xml:space="preserve">Sr. No.</t>
  </si>
  <si>
    <t xml:space="preserve">DO No.-Picklist Barcode</t>
  </si>
  <si>
    <t xml:space="preserve">SKU No.-SKU Barcode/MRP Label</t>
  </si>
  <si>
    <t xml:space="preserve">Qty</t>
  </si>
  <si>
    <t xml:space="preserve">Length</t>
  </si>
  <si>
    <t xml:space="preserve">Width</t>
  </si>
  <si>
    <t xml:space="preserve">Height</t>
  </si>
  <si>
    <t xml:space="preserve">Dimension Unit</t>
  </si>
  <si>
    <t xml:space="preserve">Voume</t>
  </si>
  <si>
    <t xml:space="preserve">1 SKU Weight</t>
  </si>
  <si>
    <t xml:space="preserve">Weight Unit</t>
  </si>
  <si>
    <t xml:space="preserve">DFC Used for Packing</t>
  </si>
  <si>
    <t xml:space="preserve">DFC Volume</t>
  </si>
  <si>
    <t xml:space="preserve">Volumetric Efficiency</t>
  </si>
  <si>
    <t xml:space="preserve">Weight after packing SKUs in DFC</t>
  </si>
  <si>
    <t xml:space="preserve">Div</t>
  </si>
  <si>
    <t xml:space="preserve">725-2520</t>
  </si>
  <si>
    <t xml:space="preserve">cm</t>
  </si>
  <si>
    <t xml:space="preserve">kg</t>
  </si>
  <si>
    <t xml:space="preserve">CFB 5Ply For 100ml HDPE Bottles</t>
  </si>
  <si>
    <t xml:space="preserve">LSI</t>
  </si>
  <si>
    <t xml:space="preserve">5026-1010</t>
  </si>
  <si>
    <t xml:space="preserve">DFC – GW4</t>
  </si>
  <si>
    <t xml:space="preserve">2069-05</t>
  </si>
  <si>
    <t xml:space="preserve">2139-05</t>
  </si>
  <si>
    <t xml:space="preserve">2279-05</t>
  </si>
  <si>
    <t xml:space="preserve">2149p-05</t>
  </si>
  <si>
    <t xml:space="preserve">Q28585</t>
  </si>
  <si>
    <t xml:space="preserve">DFC – TR-S</t>
  </si>
  <si>
    <t xml:space="preserve">DFC – 26</t>
  </si>
  <si>
    <t xml:space="preserve">AIG</t>
  </si>
  <si>
    <t xml:space="preserve">SP6951</t>
  </si>
  <si>
    <t xml:space="preserve">30105-204030</t>
  </si>
  <si>
    <t xml:space="preserve">DFC-C</t>
  </si>
  <si>
    <t xml:space="preserve">6AK86W</t>
  </si>
  <si>
    <t xml:space="preserve">DFC-TR-L</t>
  </si>
  <si>
    <t xml:space="preserve">60180-CR20</t>
  </si>
  <si>
    <t xml:space="preserve">60180-DCR20</t>
  </si>
  <si>
    <t xml:space="preserve">CHSV20-14</t>
  </si>
  <si>
    <t xml:space="preserve">60107-312</t>
  </si>
  <si>
    <t xml:space="preserve">28205-254030</t>
  </si>
  <si>
    <t xml:space="preserve">28102-054630</t>
  </si>
  <si>
    <t xml:space="preserve">chem1</t>
  </si>
  <si>
    <t xml:space="preserve">DFC- OT 22</t>
  </si>
  <si>
    <t xml:space="preserve">aig-1</t>
  </si>
  <si>
    <t xml:space="preserve">DFC – GW2</t>
  </si>
  <si>
    <t xml:space="preserve">Separate DFC</t>
  </si>
  <si>
    <t xml:space="preserve">AIG-2</t>
  </si>
  <si>
    <t xml:space="preserve">DFC C - 52 X 26 X 16cm</t>
  </si>
  <si>
    <t xml:space="preserve">AIG-3</t>
  </si>
  <si>
    <t xml:space="preserve">DFC – TR-M</t>
  </si>
  <si>
    <t xml:space="preserve">AIG-4</t>
  </si>
  <si>
    <t xml:space="preserve">ALLIED-1</t>
  </si>
  <si>
    <t xml:space="preserve">DFC - GW6</t>
  </si>
  <si>
    <t xml:space="preserve">ALLIED-2</t>
  </si>
  <si>
    <t xml:space="preserve">DFC  55</t>
  </si>
  <si>
    <t xml:space="preserve">ALLIED-3</t>
  </si>
  <si>
    <t xml:space="preserve">DFC-100</t>
  </si>
  <si>
    <t xml:space="preserve">DFC-99</t>
  </si>
  <si>
    <t xml:space="preserve">DFC- 33</t>
  </si>
  <si>
    <t xml:space="preserve">DFC 1 L</t>
  </si>
  <si>
    <t xml:space="preserve">Repacking Possible Combinations </t>
  </si>
  <si>
    <t xml:space="preserve">SKUs/Line Item</t>
  </si>
  <si>
    <t xml:space="preserve">Quantity </t>
  </si>
  <si>
    <t xml:space="preserve">DFCs</t>
  </si>
  <si>
    <t xml:space="preserve">Single</t>
  </si>
  <si>
    <t xml:space="preserve">Single </t>
  </si>
  <si>
    <t xml:space="preserve">Many</t>
  </si>
  <si>
    <t xml:space="preserve">Many </t>
  </si>
  <si>
    <t xml:space="preserve">TGL Shippers dimensions in mm</t>
  </si>
  <si>
    <t xml:space="preserve">Row Labels</t>
  </si>
  <si>
    <t xml:space="preserve">L</t>
  </si>
  <si>
    <t xml:space="preserve">B</t>
  </si>
  <si>
    <t xml:space="preserve">H</t>
  </si>
  <si>
    <t xml:space="preserve">Volume</t>
  </si>
  <si>
    <t xml:space="preserve">DFC – GW8 90 x 40 x 40cm</t>
  </si>
  <si>
    <t xml:space="preserve">DFC- 2.5 LTR ACID</t>
  </si>
  <si>
    <t xml:space="preserve">DFC 25 L</t>
  </si>
  <si>
    <t xml:space="preserve">DFC - 40</t>
  </si>
  <si>
    <t xml:space="preserve">CFB 5ly Set (OC3)</t>
  </si>
  <si>
    <t xml:space="preserve">DFC - 39</t>
  </si>
  <si>
    <t xml:space="preserve">BC-DFC-35</t>
  </si>
  <si>
    <t xml:space="preserve">DFC 2.5 L Round</t>
  </si>
  <si>
    <t xml:space="preserve">DFC - 54</t>
  </si>
  <si>
    <t xml:space="preserve">DFC-56</t>
  </si>
  <si>
    <t xml:space="preserve">DFC-81</t>
  </si>
  <si>
    <t xml:space="preserve">DFC – 91</t>
  </si>
  <si>
    <t xml:space="preserve">DFC – 64 R (set)</t>
  </si>
  <si>
    <t xml:space="preserve">DFC- 500ML ACID</t>
  </si>
  <si>
    <t xml:space="preserve">DFC - 34/B</t>
  </si>
  <si>
    <t xml:space="preserve">DFC- 65R</t>
  </si>
  <si>
    <t xml:space="preserve">CFB 5ly Set (OC2)</t>
  </si>
  <si>
    <t xml:space="preserve">DFC- BASU 6</t>
  </si>
  <si>
    <t xml:space="preserve">DFC - 26</t>
  </si>
  <si>
    <t xml:space="preserve">DFC- OT 22 WHITE</t>
  </si>
  <si>
    <t xml:space="preserve">DFC- OT 22 BROWN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</si>
</sst>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General"/>
    <numFmt numFmtId="167" formatCode="_(* #,##0.00_);_(* \(#,##0.00\);_(* \-??_);_(@_)"/>
    <numFmt numFmtId="168" formatCode="_(* #,##0_);_(* \(#,##0\);_(* \-??_);_(@_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7"/>
      <color rgb="FF1F1F1F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3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3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3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56" colorId="64" zoomScale="100" zoomScaleNormal="100" zoomScalePageLayoutView="100" workbookViewId="0">
      <selection pane="topLeft" activeCell="B82" activeCellId="0" sqref="B8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.18"/>
    <col collapsed="false" customWidth="true" hidden="false" outlineLevel="0" max="2" min="2" style="2" width="20.73"/>
    <col collapsed="false" customWidth="true" hidden="false" outlineLevel="0" max="3" min="3" style="2" width="28.54"/>
    <col collapsed="false" customWidth="true" hidden="false" outlineLevel="0" max="4" min="4" style="2" width="4.82"/>
    <col collapsed="false" customWidth="true" hidden="false" outlineLevel="0" max="5" min="5" style="2" width="8.82"/>
    <col collapsed="false" customWidth="true" hidden="false" outlineLevel="0" max="6" min="6" style="2" width="7.82"/>
    <col collapsed="false" customWidth="true" hidden="false" outlineLevel="0" max="7" min="7" style="2" width="10.73"/>
    <col collapsed="false" customWidth="true" hidden="false" outlineLevel="0" max="8" min="8" style="3" width="13.82"/>
    <col collapsed="false" customWidth="true" hidden="false" outlineLevel="0" max="9" min="9" style="3" width="6.82"/>
    <col collapsed="false" customWidth="true" hidden="false" outlineLevel="0" max="10" min="10" style="2" width="12.27"/>
    <col collapsed="false" customWidth="true" hidden="false" outlineLevel="0" max="11" min="11" style="3" width="10.82"/>
    <col collapsed="false" customWidth="true" hidden="false" outlineLevel="0" max="14" min="12" style="2" width="20.82"/>
    <col collapsed="false" customWidth="true" hidden="false" outlineLevel="0" max="15" min="15" style="4" width="30.73"/>
    <col collapsed="false" customWidth="true" hidden="false" outlineLevel="0" max="16" min="16" style="3" width="13.27"/>
    <col collapsed="false" customWidth="false" hidden="false" outlineLevel="0" max="17" min="17" style="2" width="8.73"/>
  </cols>
  <sheetData>
    <row r="1" s="3" customFormat="true" ht="28.35" hidden="false" customHeight="false" outlineLevel="0" collapsed="false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10</v>
      </c>
      <c r="Q1" s="5" t="s">
        <v>15</v>
      </c>
    </row>
    <row r="2" customFormat="false" ht="14.25" hidden="false" customHeight="false" outlineLevel="0" collapsed="false">
      <c r="A2" s="7" t="n">
        <v>1</v>
      </c>
      <c r="B2" s="8" t="n">
        <v>809090896</v>
      </c>
      <c r="C2" s="8" t="s">
        <v>16</v>
      </c>
      <c r="D2" s="8" t="n">
        <v>1</v>
      </c>
      <c r="E2" s="8" t="n">
        <v>18</v>
      </c>
      <c r="F2" s="8" t="n">
        <v>15</v>
      </c>
      <c r="G2" s="8" t="n">
        <v>11.5</v>
      </c>
      <c r="H2" s="8" t="s">
        <v>17</v>
      </c>
      <c r="I2" s="8" t="n">
        <f aca="false">D2*E2*F2*G2</f>
        <v>3105</v>
      </c>
      <c r="J2" s="8" t="n">
        <v>0.3</v>
      </c>
      <c r="K2" s="8" t="s">
        <v>18</v>
      </c>
      <c r="L2" s="9" t="s">
        <v>19</v>
      </c>
      <c r="M2" s="10" t="n">
        <v>7903</v>
      </c>
      <c r="N2" s="11" t="n">
        <f aca="false">I2/M2</f>
        <v>0.39288877641402</v>
      </c>
      <c r="O2" s="12" t="n">
        <v>0.5</v>
      </c>
      <c r="P2" s="12" t="s">
        <v>18</v>
      </c>
      <c r="Q2" s="13" t="s">
        <v>20</v>
      </c>
    </row>
    <row r="3" customFormat="false" ht="14.25" hidden="false" customHeight="false" outlineLevel="0" collapsed="false">
      <c r="A3" s="14" t="n">
        <v>2</v>
      </c>
      <c r="B3" s="15" t="n">
        <v>809079460</v>
      </c>
      <c r="C3" s="15" t="s">
        <v>21</v>
      </c>
      <c r="D3" s="15" t="n">
        <v>1</v>
      </c>
      <c r="E3" s="15" t="n">
        <v>27</v>
      </c>
      <c r="F3" s="15" t="n">
        <v>27</v>
      </c>
      <c r="G3" s="15" t="n">
        <v>16</v>
      </c>
      <c r="H3" s="15" t="s">
        <v>17</v>
      </c>
      <c r="I3" s="8" t="n">
        <f aca="false">D3*E3*F3*G3</f>
        <v>11664</v>
      </c>
      <c r="J3" s="15" t="n">
        <v>2</v>
      </c>
      <c r="K3" s="15" t="s">
        <v>18</v>
      </c>
      <c r="L3" s="16" t="s">
        <v>22</v>
      </c>
      <c r="M3" s="17" t="n">
        <f aca="false">68*44.5*44.5</f>
        <v>134657</v>
      </c>
      <c r="N3" s="11" t="n">
        <f aca="false">SUM(I3:I7)/M3</f>
        <v>0.677216928937968</v>
      </c>
      <c r="O3" s="12" t="n">
        <v>16</v>
      </c>
      <c r="P3" s="18" t="s">
        <v>18</v>
      </c>
      <c r="Q3" s="19" t="s">
        <v>20</v>
      </c>
    </row>
    <row r="4" customFormat="false" ht="14.25" hidden="false" customHeight="false" outlineLevel="0" collapsed="false">
      <c r="A4" s="14"/>
      <c r="B4" s="20" t="n">
        <v>809079460</v>
      </c>
      <c r="C4" s="20" t="s">
        <v>23</v>
      </c>
      <c r="D4" s="20" t="n">
        <v>3</v>
      </c>
      <c r="E4" s="20" t="n">
        <v>34</v>
      </c>
      <c r="F4" s="20" t="n">
        <v>18</v>
      </c>
      <c r="G4" s="20" t="n">
        <v>13</v>
      </c>
      <c r="H4" s="20" t="s">
        <v>17</v>
      </c>
      <c r="I4" s="8" t="n">
        <f aca="false">D4*E4*F4*G4</f>
        <v>23868</v>
      </c>
      <c r="J4" s="20" t="n">
        <v>1.5</v>
      </c>
      <c r="K4" s="20" t="s">
        <v>18</v>
      </c>
      <c r="L4" s="21" t="s">
        <v>22</v>
      </c>
      <c r="M4" s="17"/>
      <c r="N4" s="11"/>
      <c r="O4" s="12"/>
      <c r="P4" s="22" t="s">
        <v>18</v>
      </c>
      <c r="Q4" s="23" t="s">
        <v>20</v>
      </c>
    </row>
    <row r="5" customFormat="false" ht="14.25" hidden="false" customHeight="false" outlineLevel="0" collapsed="false">
      <c r="A5" s="14"/>
      <c r="B5" s="20" t="n">
        <v>809079460</v>
      </c>
      <c r="C5" s="20" t="s">
        <v>24</v>
      </c>
      <c r="D5" s="20" t="n">
        <v>2</v>
      </c>
      <c r="E5" s="20" t="n">
        <v>20</v>
      </c>
      <c r="F5" s="20" t="n">
        <v>17</v>
      </c>
      <c r="G5" s="20" t="n">
        <v>13</v>
      </c>
      <c r="H5" s="20" t="s">
        <v>17</v>
      </c>
      <c r="I5" s="8" t="n">
        <f aca="false">D5*E5*F5*G5</f>
        <v>8840</v>
      </c>
      <c r="J5" s="20" t="n">
        <v>0.5</v>
      </c>
      <c r="K5" s="20" t="s">
        <v>18</v>
      </c>
      <c r="L5" s="21" t="s">
        <v>22</v>
      </c>
      <c r="M5" s="17"/>
      <c r="N5" s="11"/>
      <c r="O5" s="12"/>
      <c r="P5" s="22" t="s">
        <v>18</v>
      </c>
      <c r="Q5" s="23" t="s">
        <v>20</v>
      </c>
    </row>
    <row r="6" customFormat="false" ht="14.25" hidden="false" customHeight="false" outlineLevel="0" collapsed="false">
      <c r="A6" s="14"/>
      <c r="B6" s="20" t="n">
        <v>809079460</v>
      </c>
      <c r="C6" s="20" t="s">
        <v>25</v>
      </c>
      <c r="D6" s="20" t="n">
        <v>2</v>
      </c>
      <c r="E6" s="20" t="n">
        <v>28</v>
      </c>
      <c r="F6" s="20" t="n">
        <v>23</v>
      </c>
      <c r="G6" s="20" t="n">
        <v>20</v>
      </c>
      <c r="H6" s="20" t="s">
        <v>17</v>
      </c>
      <c r="I6" s="8" t="n">
        <f aca="false">D6*E6*F6*G6</f>
        <v>25760</v>
      </c>
      <c r="J6" s="20" t="n">
        <v>2</v>
      </c>
      <c r="K6" s="20" t="s">
        <v>18</v>
      </c>
      <c r="L6" s="21" t="s">
        <v>22</v>
      </c>
      <c r="M6" s="17"/>
      <c r="N6" s="11"/>
      <c r="O6" s="12"/>
      <c r="P6" s="22" t="s">
        <v>18</v>
      </c>
      <c r="Q6" s="23" t="s">
        <v>20</v>
      </c>
    </row>
    <row r="7" customFormat="false" ht="14.25" hidden="false" customHeight="false" outlineLevel="0" collapsed="false">
      <c r="A7" s="14"/>
      <c r="B7" s="24" t="n">
        <v>809079460</v>
      </c>
      <c r="C7" s="24" t="s">
        <v>26</v>
      </c>
      <c r="D7" s="24" t="n">
        <v>3</v>
      </c>
      <c r="E7" s="24" t="n">
        <v>30</v>
      </c>
      <c r="F7" s="24" t="n">
        <v>18</v>
      </c>
      <c r="G7" s="24" t="n">
        <v>13</v>
      </c>
      <c r="H7" s="24" t="s">
        <v>17</v>
      </c>
      <c r="I7" s="8" t="n">
        <f aca="false">D7*E7*F7*G7</f>
        <v>21060</v>
      </c>
      <c r="J7" s="24" t="n">
        <v>1</v>
      </c>
      <c r="K7" s="24" t="s">
        <v>18</v>
      </c>
      <c r="L7" s="25" t="s">
        <v>22</v>
      </c>
      <c r="M7" s="17"/>
      <c r="N7" s="11"/>
      <c r="O7" s="12"/>
      <c r="P7" s="26" t="s">
        <v>18</v>
      </c>
      <c r="Q7" s="27" t="s">
        <v>20</v>
      </c>
    </row>
    <row r="8" customFormat="false" ht="14.25" hidden="false" customHeight="false" outlineLevel="0" collapsed="false">
      <c r="A8" s="14" t="n">
        <v>3</v>
      </c>
      <c r="B8" s="15" t="n">
        <v>809094924</v>
      </c>
      <c r="C8" s="15" t="s">
        <v>27</v>
      </c>
      <c r="D8" s="15" t="n">
        <v>1</v>
      </c>
      <c r="E8" s="15" t="n">
        <v>7.5</v>
      </c>
      <c r="F8" s="15" t="n">
        <v>7.5</v>
      </c>
      <c r="G8" s="15" t="n">
        <v>21</v>
      </c>
      <c r="H8" s="15" t="s">
        <v>17</v>
      </c>
      <c r="I8" s="8" t="n">
        <f aca="false">D8*E8*F8*G8</f>
        <v>1181.25</v>
      </c>
      <c r="J8" s="15" t="n">
        <v>0.7</v>
      </c>
      <c r="K8" s="15" t="s">
        <v>18</v>
      </c>
      <c r="L8" s="28" t="s">
        <v>28</v>
      </c>
      <c r="M8" s="10" t="n">
        <v>15180</v>
      </c>
      <c r="N8" s="11" t="n">
        <f aca="false">SUM(I8:I9)/M8</f>
        <v>0.389081027667984</v>
      </c>
      <c r="O8" s="18" t="n">
        <v>1.5</v>
      </c>
      <c r="P8" s="18" t="s">
        <v>18</v>
      </c>
      <c r="Q8" s="19" t="s">
        <v>20</v>
      </c>
    </row>
    <row r="9" customFormat="false" ht="14.25" hidden="false" customHeight="false" outlineLevel="0" collapsed="false">
      <c r="A9" s="14"/>
      <c r="B9" s="24" t="n">
        <v>809094924</v>
      </c>
      <c r="C9" s="24" t="s">
        <v>27</v>
      </c>
      <c r="D9" s="24" t="n">
        <v>4</v>
      </c>
      <c r="E9" s="24" t="n">
        <v>7.5</v>
      </c>
      <c r="F9" s="24" t="n">
        <v>7.5</v>
      </c>
      <c r="G9" s="24" t="n">
        <v>21</v>
      </c>
      <c r="H9" s="24" t="s">
        <v>17</v>
      </c>
      <c r="I9" s="8" t="n">
        <f aca="false">D9*E9*F9*G9</f>
        <v>4725</v>
      </c>
      <c r="J9" s="24" t="n">
        <v>0.7</v>
      </c>
      <c r="K9" s="24" t="s">
        <v>18</v>
      </c>
      <c r="L9" s="28" t="s">
        <v>28</v>
      </c>
      <c r="M9" s="10"/>
      <c r="N9" s="11"/>
      <c r="O9" s="26" t="n">
        <v>3.5</v>
      </c>
      <c r="P9" s="26" t="s">
        <v>18</v>
      </c>
      <c r="Q9" s="27" t="s">
        <v>20</v>
      </c>
    </row>
    <row r="10" customFormat="false" ht="14.25" hidden="false" customHeight="false" outlineLevel="0" collapsed="false">
      <c r="A10" s="29" t="n">
        <v>4</v>
      </c>
      <c r="B10" s="30" t="n">
        <v>809093815</v>
      </c>
      <c r="C10" s="31" t="n">
        <v>44124</v>
      </c>
      <c r="D10" s="31" t="n">
        <v>2</v>
      </c>
      <c r="E10" s="31" t="n">
        <v>16</v>
      </c>
      <c r="F10" s="31" t="n">
        <v>13</v>
      </c>
      <c r="G10" s="31" t="n">
        <v>4</v>
      </c>
      <c r="H10" s="31" t="s">
        <v>17</v>
      </c>
      <c r="I10" s="8" t="n">
        <f aca="false">D10*E10*F10*G10</f>
        <v>1664</v>
      </c>
      <c r="J10" s="31" t="n">
        <v>0.2</v>
      </c>
      <c r="K10" s="31" t="s">
        <v>18</v>
      </c>
      <c r="L10" s="28" t="s">
        <v>29</v>
      </c>
      <c r="M10" s="32" t="n">
        <v>18652</v>
      </c>
      <c r="N10" s="33" t="n">
        <f aca="false">SUM(I10:I12)/M10</f>
        <v>0.374973193223247</v>
      </c>
      <c r="O10" s="34" t="n">
        <v>1.1</v>
      </c>
      <c r="P10" s="31" t="s">
        <v>18</v>
      </c>
      <c r="Q10" s="35" t="s">
        <v>30</v>
      </c>
    </row>
    <row r="11" customFormat="false" ht="14.25" hidden="false" customHeight="false" outlineLevel="0" collapsed="false">
      <c r="A11" s="29"/>
      <c r="B11" s="30"/>
      <c r="C11" s="36" t="n">
        <v>44123</v>
      </c>
      <c r="D11" s="36" t="n">
        <v>2</v>
      </c>
      <c r="E11" s="36" t="n">
        <v>32</v>
      </c>
      <c r="F11" s="36" t="n">
        <v>13</v>
      </c>
      <c r="G11" s="36" t="n">
        <v>4</v>
      </c>
      <c r="H11" s="36" t="s">
        <v>17</v>
      </c>
      <c r="I11" s="8" t="n">
        <f aca="false">D11*E11*F11*G11</f>
        <v>3328</v>
      </c>
      <c r="J11" s="36" t="n">
        <v>0.3</v>
      </c>
      <c r="K11" s="36" t="s">
        <v>18</v>
      </c>
      <c r="L11" s="28"/>
      <c r="M11" s="32"/>
      <c r="N11" s="33"/>
      <c r="O11" s="37"/>
      <c r="P11" s="36" t="s">
        <v>18</v>
      </c>
      <c r="Q11" s="38"/>
    </row>
    <row r="12" customFormat="false" ht="14.25" hidden="false" customHeight="false" outlineLevel="0" collapsed="false">
      <c r="A12" s="29"/>
      <c r="B12" s="30"/>
      <c r="C12" s="39" t="s">
        <v>31</v>
      </c>
      <c r="D12" s="39" t="n">
        <v>1</v>
      </c>
      <c r="E12" s="39" t="n">
        <v>22</v>
      </c>
      <c r="F12" s="39" t="n">
        <v>13</v>
      </c>
      <c r="G12" s="39" t="n">
        <v>7</v>
      </c>
      <c r="H12" s="39" t="s">
        <v>17</v>
      </c>
      <c r="I12" s="8" t="n">
        <f aca="false">D12*E12*F12*G12</f>
        <v>2002</v>
      </c>
      <c r="J12" s="39" t="n">
        <v>0.6</v>
      </c>
      <c r="K12" s="39" t="s">
        <v>18</v>
      </c>
      <c r="L12" s="28"/>
      <c r="M12" s="32"/>
      <c r="N12" s="33"/>
      <c r="O12" s="40"/>
      <c r="P12" s="39" t="s">
        <v>18</v>
      </c>
      <c r="Q12" s="41"/>
    </row>
    <row r="13" customFormat="false" ht="14.25" hidden="false" customHeight="false" outlineLevel="0" collapsed="false">
      <c r="A13" s="42" t="n">
        <v>5</v>
      </c>
      <c r="B13" s="34" t="n">
        <v>809094978</v>
      </c>
      <c r="C13" s="43" t="s">
        <v>32</v>
      </c>
      <c r="D13" s="43" t="n">
        <v>1</v>
      </c>
      <c r="E13" s="43" t="n">
        <v>42</v>
      </c>
      <c r="F13" s="43" t="n">
        <v>5</v>
      </c>
      <c r="G13" s="43" t="n">
        <v>3</v>
      </c>
      <c r="H13" s="43" t="s">
        <v>17</v>
      </c>
      <c r="I13" s="8" t="n">
        <f aca="false">D13*E13*F13*G13</f>
        <v>630</v>
      </c>
      <c r="J13" s="43" t="n">
        <v>0.15</v>
      </c>
      <c r="K13" s="43" t="s">
        <v>18</v>
      </c>
      <c r="L13" s="44" t="s">
        <v>33</v>
      </c>
      <c r="M13" s="2" t="n">
        <v>35152</v>
      </c>
      <c r="N13" s="45" t="n">
        <f aca="false">I13/M13</f>
        <v>0.0179221665908056</v>
      </c>
      <c r="O13" s="34" t="n">
        <v>0.8</v>
      </c>
      <c r="P13" s="43" t="s">
        <v>18</v>
      </c>
      <c r="Q13" s="46" t="s">
        <v>30</v>
      </c>
    </row>
    <row r="14" customFormat="false" ht="14.25" hidden="false" customHeight="false" outlineLevel="0" collapsed="false">
      <c r="A14" s="42" t="n">
        <v>6</v>
      </c>
      <c r="B14" s="34" t="n">
        <v>809094966</v>
      </c>
      <c r="C14" s="43" t="n">
        <v>74625</v>
      </c>
      <c r="D14" s="43" t="n">
        <v>1</v>
      </c>
      <c r="E14" s="43" t="n">
        <v>32</v>
      </c>
      <c r="F14" s="43" t="n">
        <v>13</v>
      </c>
      <c r="G14" s="43" t="n">
        <v>4</v>
      </c>
      <c r="H14" s="43" t="s">
        <v>17</v>
      </c>
      <c r="I14" s="8" t="n">
        <f aca="false">D14*E14*F14*G14</f>
        <v>1664</v>
      </c>
      <c r="J14" s="43" t="n">
        <v>0.15</v>
      </c>
      <c r="K14" s="43" t="s">
        <v>18</v>
      </c>
      <c r="L14" s="47" t="s">
        <v>33</v>
      </c>
      <c r="M14" s="2" t="n">
        <v>18652</v>
      </c>
      <c r="N14" s="45" t="n">
        <f aca="false">I14/M14</f>
        <v>0.0892129530345271</v>
      </c>
      <c r="O14" s="34" t="n">
        <v>0.8</v>
      </c>
      <c r="P14" s="43" t="s">
        <v>18</v>
      </c>
      <c r="Q14" s="46" t="s">
        <v>30</v>
      </c>
    </row>
    <row r="15" customFormat="false" ht="14.25" hidden="false" customHeight="false" outlineLevel="0" collapsed="false">
      <c r="A15" s="29" t="n">
        <v>7</v>
      </c>
      <c r="B15" s="30" t="n">
        <v>809099056</v>
      </c>
      <c r="C15" s="31" t="s">
        <v>34</v>
      </c>
      <c r="D15" s="31" t="n">
        <v>4</v>
      </c>
      <c r="E15" s="31" t="n">
        <v>22</v>
      </c>
      <c r="F15" s="31" t="n">
        <v>14</v>
      </c>
      <c r="G15" s="31" t="n">
        <v>5</v>
      </c>
      <c r="H15" s="31" t="s">
        <v>17</v>
      </c>
      <c r="I15" s="8" t="n">
        <f aca="false">D15*E15*F15*G15</f>
        <v>6160</v>
      </c>
      <c r="J15" s="31" t="n">
        <v>1.2</v>
      </c>
      <c r="K15" s="31" t="s">
        <v>18</v>
      </c>
      <c r="L15" s="47" t="s">
        <v>35</v>
      </c>
      <c r="M15" s="48" t="n">
        <v>49400</v>
      </c>
      <c r="N15" s="49" t="n">
        <f aca="false">SUM(I15:I18)/M15</f>
        <v>0.541538461538462</v>
      </c>
      <c r="O15" s="34" t="n">
        <v>10.4</v>
      </c>
      <c r="P15" s="31" t="s">
        <v>18</v>
      </c>
      <c r="Q15" s="35" t="s">
        <v>30</v>
      </c>
    </row>
    <row r="16" customFormat="false" ht="14.25" hidden="false" customHeight="false" outlineLevel="0" collapsed="false">
      <c r="A16" s="29"/>
      <c r="B16" s="30"/>
      <c r="C16" s="36" t="s">
        <v>36</v>
      </c>
      <c r="D16" s="36" t="n">
        <v>1</v>
      </c>
      <c r="E16" s="36" t="n">
        <v>24</v>
      </c>
      <c r="F16" s="36" t="n">
        <v>13</v>
      </c>
      <c r="G16" s="36" t="n">
        <v>5</v>
      </c>
      <c r="H16" s="36" t="s">
        <v>17</v>
      </c>
      <c r="I16" s="8" t="n">
        <f aca="false">D16*E16*F16*G16</f>
        <v>1560</v>
      </c>
      <c r="J16" s="36" t="n">
        <v>0.55</v>
      </c>
      <c r="K16" s="36" t="s">
        <v>18</v>
      </c>
      <c r="L16" s="50"/>
      <c r="M16" s="48"/>
      <c r="N16" s="49"/>
      <c r="O16" s="37"/>
      <c r="P16" s="36" t="s">
        <v>18</v>
      </c>
      <c r="Q16" s="38"/>
    </row>
    <row r="17" customFormat="false" ht="14.25" hidden="false" customHeight="false" outlineLevel="0" collapsed="false">
      <c r="A17" s="29"/>
      <c r="B17" s="30"/>
      <c r="C17" s="36" t="s">
        <v>37</v>
      </c>
      <c r="D17" s="36" t="n">
        <v>1</v>
      </c>
      <c r="E17" s="36" t="n">
        <v>24</v>
      </c>
      <c r="F17" s="36" t="n">
        <v>13</v>
      </c>
      <c r="G17" s="36" t="n">
        <v>5</v>
      </c>
      <c r="H17" s="36" t="s">
        <v>17</v>
      </c>
      <c r="I17" s="8" t="n">
        <f aca="false">D17*E17*F17*G17</f>
        <v>1560</v>
      </c>
      <c r="J17" s="36" t="n">
        <v>0.55</v>
      </c>
      <c r="K17" s="36" t="s">
        <v>18</v>
      </c>
      <c r="L17" s="50"/>
      <c r="M17" s="48"/>
      <c r="N17" s="49"/>
      <c r="O17" s="37"/>
      <c r="P17" s="36" t="s">
        <v>18</v>
      </c>
      <c r="Q17" s="38"/>
    </row>
    <row r="18" customFormat="false" ht="14.25" hidden="false" customHeight="false" outlineLevel="0" collapsed="false">
      <c r="A18" s="29"/>
      <c r="B18" s="30"/>
      <c r="C18" s="39" t="s">
        <v>38</v>
      </c>
      <c r="D18" s="39" t="n">
        <v>4</v>
      </c>
      <c r="E18" s="39" t="n">
        <v>26</v>
      </c>
      <c r="F18" s="39" t="n">
        <v>21</v>
      </c>
      <c r="G18" s="39" t="n">
        <v>8</v>
      </c>
      <c r="H18" s="39" t="s">
        <v>17</v>
      </c>
      <c r="I18" s="8" t="n">
        <f aca="false">D18*E18*F18*G18</f>
        <v>17472</v>
      </c>
      <c r="J18" s="39" t="n">
        <v>6.8</v>
      </c>
      <c r="K18" s="39" t="s">
        <v>18</v>
      </c>
      <c r="L18" s="51"/>
      <c r="M18" s="48"/>
      <c r="N18" s="49"/>
      <c r="O18" s="40"/>
      <c r="P18" s="39" t="s">
        <v>18</v>
      </c>
      <c r="Q18" s="41"/>
    </row>
    <row r="19" customFormat="false" ht="14.25" hidden="false" customHeight="false" outlineLevel="0" collapsed="false">
      <c r="A19" s="52" t="n">
        <v>8</v>
      </c>
      <c r="B19" s="53" t="n">
        <v>809098706</v>
      </c>
      <c r="C19" s="43" t="s">
        <v>39</v>
      </c>
      <c r="D19" s="43" t="n">
        <v>1</v>
      </c>
      <c r="E19" s="43" t="n">
        <v>15</v>
      </c>
      <c r="F19" s="43" t="n">
        <v>15</v>
      </c>
      <c r="G19" s="43" t="n">
        <v>10</v>
      </c>
      <c r="H19" s="43" t="s">
        <v>17</v>
      </c>
      <c r="I19" s="8" t="n">
        <f aca="false">D19*E19*F19*G19</f>
        <v>2250</v>
      </c>
      <c r="J19" s="31" t="n">
        <v>0.15</v>
      </c>
      <c r="K19" s="43" t="s">
        <v>18</v>
      </c>
      <c r="L19" s="54" t="s">
        <v>33</v>
      </c>
      <c r="M19" s="48" t="n">
        <v>35152</v>
      </c>
      <c r="N19" s="33" t="n">
        <f aca="false">SUM(I19:I21)/M19</f>
        <v>0.0998520710059172</v>
      </c>
      <c r="O19" s="34" t="n">
        <v>1.2</v>
      </c>
      <c r="P19" s="31" t="s">
        <v>18</v>
      </c>
      <c r="Q19" s="35" t="s">
        <v>30</v>
      </c>
    </row>
    <row r="20" customFormat="false" ht="14.25" hidden="false" customHeight="false" outlineLevel="0" collapsed="false">
      <c r="A20" s="52"/>
      <c r="B20" s="53"/>
      <c r="C20" s="36" t="s">
        <v>40</v>
      </c>
      <c r="D20" s="36" t="n">
        <v>1</v>
      </c>
      <c r="E20" s="36" t="n">
        <v>42</v>
      </c>
      <c r="F20" s="36" t="n">
        <v>5</v>
      </c>
      <c r="G20" s="36" t="n">
        <v>3</v>
      </c>
      <c r="H20" s="36" t="s">
        <v>17</v>
      </c>
      <c r="I20" s="8" t="n">
        <f aca="false">D20*E20*F20*G20</f>
        <v>630</v>
      </c>
      <c r="J20" s="36" t="n">
        <v>0.15</v>
      </c>
      <c r="K20" s="36" t="s">
        <v>18</v>
      </c>
      <c r="L20" s="55"/>
      <c r="M20" s="48"/>
      <c r="N20" s="33"/>
      <c r="O20" s="37"/>
      <c r="P20" s="36" t="s">
        <v>18</v>
      </c>
      <c r="Q20" s="38"/>
    </row>
    <row r="21" customFormat="false" ht="14.25" hidden="false" customHeight="false" outlineLevel="0" collapsed="false">
      <c r="A21" s="52"/>
      <c r="B21" s="53"/>
      <c r="C21" s="39" t="s">
        <v>41</v>
      </c>
      <c r="D21" s="39" t="n">
        <v>2</v>
      </c>
      <c r="E21" s="39" t="n">
        <v>21</v>
      </c>
      <c r="F21" s="39" t="n">
        <v>5</v>
      </c>
      <c r="G21" s="39" t="n">
        <v>3</v>
      </c>
      <c r="H21" s="39" t="s">
        <v>17</v>
      </c>
      <c r="I21" s="8" t="n">
        <f aca="false">D21*E21*F21*G21</f>
        <v>630</v>
      </c>
      <c r="J21" s="39" t="n">
        <v>0.2</v>
      </c>
      <c r="K21" s="39" t="s">
        <v>18</v>
      </c>
      <c r="L21" s="56"/>
      <c r="M21" s="48"/>
      <c r="N21" s="33"/>
      <c r="O21" s="40"/>
      <c r="P21" s="39" t="s">
        <v>18</v>
      </c>
      <c r="Q21" s="41"/>
    </row>
    <row r="22" customFormat="false" ht="14.25" hidden="false" customHeight="false" outlineLevel="0" collapsed="false">
      <c r="A22" s="52" t="n">
        <v>9</v>
      </c>
      <c r="B22" s="57" t="n">
        <v>809103772</v>
      </c>
      <c r="C22" s="31" t="n">
        <v>420117208081</v>
      </c>
      <c r="D22" s="31" t="n">
        <v>1</v>
      </c>
      <c r="E22" s="31" t="n">
        <v>22</v>
      </c>
      <c r="F22" s="31" t="n">
        <v>17</v>
      </c>
      <c r="G22" s="31" t="n">
        <v>7</v>
      </c>
      <c r="H22" s="31" t="s">
        <v>17</v>
      </c>
      <c r="I22" s="8" t="n">
        <f aca="false">D22*E22*F22*G22</f>
        <v>2618</v>
      </c>
      <c r="J22" s="31" t="n">
        <v>0.25</v>
      </c>
      <c r="K22" s="31" t="s">
        <v>18</v>
      </c>
      <c r="L22" s="47" t="s">
        <v>35</v>
      </c>
      <c r="M22" s="48" t="n">
        <v>28175</v>
      </c>
      <c r="N22" s="49" t="n">
        <f aca="false">SUM(I22:I25)/M22</f>
        <v>0.84379769299024</v>
      </c>
      <c r="O22" s="34" t="n">
        <v>3.5</v>
      </c>
      <c r="P22" s="31" t="s">
        <v>18</v>
      </c>
      <c r="Q22" s="35" t="s">
        <v>30</v>
      </c>
    </row>
    <row r="23" customFormat="false" ht="14.25" hidden="false" customHeight="false" outlineLevel="0" collapsed="false">
      <c r="A23" s="52"/>
      <c r="B23" s="57"/>
      <c r="C23" s="36" t="n">
        <v>420117208061</v>
      </c>
      <c r="D23" s="36" t="n">
        <v>1</v>
      </c>
      <c r="E23" s="36" t="n">
        <v>22</v>
      </c>
      <c r="F23" s="36" t="n">
        <v>17</v>
      </c>
      <c r="G23" s="36" t="n">
        <v>7</v>
      </c>
      <c r="H23" s="36" t="s">
        <v>17</v>
      </c>
      <c r="I23" s="8" t="n">
        <f aca="false">D23*E23*F23*G23</f>
        <v>2618</v>
      </c>
      <c r="J23" s="36" t="n">
        <v>0.5</v>
      </c>
      <c r="K23" s="36" t="s">
        <v>18</v>
      </c>
      <c r="L23" s="50"/>
      <c r="M23" s="48"/>
      <c r="N23" s="49"/>
      <c r="O23" s="37"/>
      <c r="P23" s="36" t="s">
        <v>18</v>
      </c>
      <c r="Q23" s="38"/>
    </row>
    <row r="24" customFormat="false" ht="14.25" hidden="false" customHeight="false" outlineLevel="0" collapsed="false">
      <c r="A24" s="52"/>
      <c r="B24" s="57"/>
      <c r="C24" s="36" t="n">
        <v>420117208051</v>
      </c>
      <c r="D24" s="36" t="n">
        <v>1</v>
      </c>
      <c r="E24" s="36" t="n">
        <v>31</v>
      </c>
      <c r="F24" s="36" t="n">
        <v>23</v>
      </c>
      <c r="G24" s="36" t="n">
        <v>13</v>
      </c>
      <c r="H24" s="36" t="s">
        <v>17</v>
      </c>
      <c r="I24" s="8" t="n">
        <f aca="false">D24*E24*F24*G24</f>
        <v>9269</v>
      </c>
      <c r="J24" s="36" t="n">
        <v>0.7</v>
      </c>
      <c r="K24" s="36" t="s">
        <v>18</v>
      </c>
      <c r="L24" s="50"/>
      <c r="M24" s="48"/>
      <c r="N24" s="49"/>
      <c r="O24" s="37"/>
      <c r="P24" s="36" t="s">
        <v>18</v>
      </c>
      <c r="Q24" s="38"/>
    </row>
    <row r="25" customFormat="false" ht="14.25" hidden="false" customHeight="false" outlineLevel="0" collapsed="false">
      <c r="A25" s="52"/>
      <c r="B25" s="57"/>
      <c r="C25" s="39" t="n">
        <v>420117200661</v>
      </c>
      <c r="D25" s="39" t="n">
        <v>1</v>
      </c>
      <c r="E25" s="39" t="n">
        <v>31</v>
      </c>
      <c r="F25" s="39" t="n">
        <v>23</v>
      </c>
      <c r="G25" s="39" t="n">
        <v>13</v>
      </c>
      <c r="H25" s="39" t="s">
        <v>17</v>
      </c>
      <c r="I25" s="8" t="n">
        <f aca="false">D25*E25*F25*G25</f>
        <v>9269</v>
      </c>
      <c r="J25" s="39" t="n">
        <v>0.55</v>
      </c>
      <c r="K25" s="39" t="s">
        <v>18</v>
      </c>
      <c r="L25" s="51"/>
      <c r="M25" s="48"/>
      <c r="N25" s="49"/>
      <c r="O25" s="40"/>
      <c r="P25" s="39" t="s">
        <v>18</v>
      </c>
      <c r="Q25" s="41"/>
    </row>
    <row r="26" customFormat="false" ht="14.25" hidden="false" customHeight="false" outlineLevel="0" collapsed="false">
      <c r="A26" s="29" t="n">
        <v>10</v>
      </c>
      <c r="B26" s="30" t="s">
        <v>42</v>
      </c>
      <c r="C26" s="31" t="n">
        <v>1</v>
      </c>
      <c r="D26" s="31" t="n">
        <v>1</v>
      </c>
      <c r="E26" s="31" t="n">
        <v>16</v>
      </c>
      <c r="F26" s="31" t="n">
        <v>9</v>
      </c>
      <c r="G26" s="31" t="n">
        <v>9</v>
      </c>
      <c r="H26" s="31" t="s">
        <v>17</v>
      </c>
      <c r="I26" s="8" t="n">
        <f aca="false">D26*E26*F26*G26</f>
        <v>1296</v>
      </c>
      <c r="J26" s="31" t="n">
        <v>0.55</v>
      </c>
      <c r="K26" s="31" t="s">
        <v>18</v>
      </c>
      <c r="L26" s="47" t="s">
        <v>43</v>
      </c>
      <c r="M26" s="48" t="n">
        <v>10506.25</v>
      </c>
      <c r="N26" s="49" t="n">
        <f aca="false">SUM(I26:I30)/M26</f>
        <v>0.491326591314694</v>
      </c>
      <c r="O26" s="34" t="n">
        <v>3.1</v>
      </c>
      <c r="P26" s="31" t="s">
        <v>18</v>
      </c>
      <c r="Q26" s="58"/>
    </row>
    <row r="27" customFormat="false" ht="14.25" hidden="false" customHeight="false" outlineLevel="0" collapsed="false">
      <c r="A27" s="29"/>
      <c r="B27" s="30"/>
      <c r="C27" s="36" t="n">
        <v>2</v>
      </c>
      <c r="D27" s="36" t="n">
        <v>1</v>
      </c>
      <c r="E27" s="36" t="n">
        <v>16</v>
      </c>
      <c r="F27" s="36" t="n">
        <v>9</v>
      </c>
      <c r="G27" s="36" t="n">
        <v>9</v>
      </c>
      <c r="H27" s="36" t="s">
        <v>17</v>
      </c>
      <c r="I27" s="8" t="n">
        <f aca="false">D27*E27*F27*G27</f>
        <v>1296</v>
      </c>
      <c r="J27" s="36" t="n">
        <v>0.55</v>
      </c>
      <c r="K27" s="36" t="s">
        <v>18</v>
      </c>
      <c r="L27" s="50"/>
      <c r="M27" s="48"/>
      <c r="N27" s="49"/>
      <c r="O27" s="37"/>
      <c r="P27" s="36" t="s">
        <v>18</v>
      </c>
      <c r="Q27" s="59"/>
    </row>
    <row r="28" customFormat="false" ht="14.25" hidden="false" customHeight="false" outlineLevel="0" collapsed="false">
      <c r="A28" s="29"/>
      <c r="B28" s="30"/>
      <c r="C28" s="36" t="n">
        <v>3</v>
      </c>
      <c r="D28" s="36" t="n">
        <v>1</v>
      </c>
      <c r="E28" s="36" t="n">
        <v>13</v>
      </c>
      <c r="F28" s="36" t="n">
        <v>7</v>
      </c>
      <c r="G28" s="36" t="n">
        <v>7</v>
      </c>
      <c r="H28" s="36" t="s">
        <v>17</v>
      </c>
      <c r="I28" s="8" t="n">
        <f aca="false">D28*E28*F28*G28</f>
        <v>637</v>
      </c>
      <c r="J28" s="36" t="n">
        <v>0.55</v>
      </c>
      <c r="K28" s="36" t="s">
        <v>18</v>
      </c>
      <c r="L28" s="50"/>
      <c r="M28" s="48"/>
      <c r="N28" s="49"/>
      <c r="O28" s="37"/>
      <c r="P28" s="36" t="s">
        <v>18</v>
      </c>
      <c r="Q28" s="59"/>
    </row>
    <row r="29" customFormat="false" ht="14.25" hidden="false" customHeight="false" outlineLevel="0" collapsed="false">
      <c r="A29" s="29"/>
      <c r="B29" s="30"/>
      <c r="C29" s="36" t="n">
        <v>4</v>
      </c>
      <c r="D29" s="36" t="n">
        <v>1</v>
      </c>
      <c r="E29" s="36" t="n">
        <v>16</v>
      </c>
      <c r="F29" s="36" t="n">
        <v>9</v>
      </c>
      <c r="G29" s="36" t="n">
        <v>9</v>
      </c>
      <c r="H29" s="36" t="s">
        <v>17</v>
      </c>
      <c r="I29" s="8" t="n">
        <f aca="false">D29*E29*F29*G29</f>
        <v>1296</v>
      </c>
      <c r="J29" s="36" t="n">
        <v>0.55</v>
      </c>
      <c r="K29" s="36" t="s">
        <v>18</v>
      </c>
      <c r="L29" s="50"/>
      <c r="M29" s="48"/>
      <c r="N29" s="49"/>
      <c r="O29" s="37"/>
      <c r="P29" s="36" t="s">
        <v>18</v>
      </c>
      <c r="Q29" s="59"/>
    </row>
    <row r="30" customFormat="false" ht="14.25" hidden="false" customHeight="false" outlineLevel="0" collapsed="false">
      <c r="A30" s="29"/>
      <c r="B30" s="30"/>
      <c r="C30" s="60" t="n">
        <v>5</v>
      </c>
      <c r="D30" s="60" t="n">
        <v>1</v>
      </c>
      <c r="E30" s="60" t="n">
        <v>13</v>
      </c>
      <c r="F30" s="60" t="n">
        <v>7</v>
      </c>
      <c r="G30" s="60" t="n">
        <v>7</v>
      </c>
      <c r="H30" s="60" t="s">
        <v>17</v>
      </c>
      <c r="I30" s="8" t="n">
        <f aca="false">D30*E30*F30*G30</f>
        <v>637</v>
      </c>
      <c r="J30" s="60" t="n">
        <v>0.5</v>
      </c>
      <c r="K30" s="60" t="s">
        <v>18</v>
      </c>
      <c r="L30" s="51"/>
      <c r="M30" s="48"/>
      <c r="N30" s="49"/>
      <c r="O30" s="40"/>
      <c r="P30" s="60" t="s">
        <v>18</v>
      </c>
      <c r="Q30" s="61"/>
    </row>
    <row r="31" customFormat="false" ht="14.25" hidden="false" customHeight="false" outlineLevel="0" collapsed="false">
      <c r="A31" s="29" t="n">
        <v>11</v>
      </c>
      <c r="B31" s="30" t="s">
        <v>44</v>
      </c>
      <c r="C31" s="31" t="n">
        <v>1</v>
      </c>
      <c r="D31" s="31" t="n">
        <v>1</v>
      </c>
      <c r="E31" s="31" t="n">
        <v>33</v>
      </c>
      <c r="F31" s="31" t="n">
        <v>25</v>
      </c>
      <c r="G31" s="31" t="n">
        <v>12</v>
      </c>
      <c r="H31" s="31" t="s">
        <v>17</v>
      </c>
      <c r="I31" s="8" t="n">
        <f aca="false">D31*E31*F31*G31</f>
        <v>9900</v>
      </c>
      <c r="J31" s="31" t="n">
        <v>1.1</v>
      </c>
      <c r="K31" s="31" t="s">
        <v>18</v>
      </c>
      <c r="L31" s="47" t="s">
        <v>45</v>
      </c>
      <c r="M31" s="48" t="n">
        <v>85196</v>
      </c>
      <c r="N31" s="49" t="n">
        <f aca="false">SUM(I31:I34)/M31</f>
        <v>0.609746936475891</v>
      </c>
      <c r="O31" s="34" t="n">
        <v>9.4</v>
      </c>
      <c r="P31" s="31" t="s">
        <v>18</v>
      </c>
      <c r="Q31" s="58"/>
    </row>
    <row r="32" customFormat="false" ht="14.25" hidden="false" customHeight="false" outlineLevel="0" collapsed="false">
      <c r="A32" s="29"/>
      <c r="B32" s="30"/>
      <c r="C32" s="36" t="n">
        <v>2</v>
      </c>
      <c r="D32" s="36" t="n">
        <v>1</v>
      </c>
      <c r="E32" s="36" t="n">
        <v>36</v>
      </c>
      <c r="F32" s="36" t="n">
        <v>28</v>
      </c>
      <c r="G32" s="36" t="n">
        <v>16</v>
      </c>
      <c r="H32" s="36" t="s">
        <v>17</v>
      </c>
      <c r="I32" s="8" t="n">
        <f aca="false">D32*E32*F32*G32</f>
        <v>16128</v>
      </c>
      <c r="J32" s="36" t="n">
        <v>2.5</v>
      </c>
      <c r="K32" s="36" t="s">
        <v>18</v>
      </c>
      <c r="L32" s="50"/>
      <c r="M32" s="48"/>
      <c r="N32" s="49"/>
      <c r="O32" s="37"/>
      <c r="P32" s="36" t="s">
        <v>18</v>
      </c>
      <c r="Q32" s="59"/>
    </row>
    <row r="33" customFormat="false" ht="14.25" hidden="false" customHeight="false" outlineLevel="0" collapsed="false">
      <c r="A33" s="29"/>
      <c r="B33" s="30"/>
      <c r="C33" s="36" t="n">
        <v>3</v>
      </c>
      <c r="D33" s="36" t="n">
        <v>1</v>
      </c>
      <c r="E33" s="36" t="n">
        <v>33</v>
      </c>
      <c r="F33" s="36" t="n">
        <v>30</v>
      </c>
      <c r="G33" s="36" t="n">
        <v>8</v>
      </c>
      <c r="H33" s="36" t="s">
        <v>17</v>
      </c>
      <c r="I33" s="8" t="n">
        <f aca="false">D33*E33*F33*G33</f>
        <v>7920</v>
      </c>
      <c r="J33" s="36" t="n">
        <v>2.15</v>
      </c>
      <c r="K33" s="36" t="s">
        <v>18</v>
      </c>
      <c r="L33" s="50"/>
      <c r="M33" s="48"/>
      <c r="N33" s="49"/>
      <c r="O33" s="37"/>
      <c r="P33" s="36" t="s">
        <v>18</v>
      </c>
      <c r="Q33" s="59"/>
    </row>
    <row r="34" customFormat="false" ht="14.25" hidden="false" customHeight="false" outlineLevel="0" collapsed="false">
      <c r="A34" s="29"/>
      <c r="B34" s="30"/>
      <c r="C34" s="36" t="n">
        <v>4</v>
      </c>
      <c r="D34" s="36" t="n">
        <v>1</v>
      </c>
      <c r="E34" s="36" t="n">
        <v>30</v>
      </c>
      <c r="F34" s="36" t="n">
        <v>30</v>
      </c>
      <c r="G34" s="36" t="n">
        <v>20</v>
      </c>
      <c r="H34" s="36" t="s">
        <v>17</v>
      </c>
      <c r="I34" s="8" t="n">
        <f aca="false">D34*E34*F34*G34</f>
        <v>18000</v>
      </c>
      <c r="J34" s="36" t="n">
        <v>2</v>
      </c>
      <c r="K34" s="36" t="s">
        <v>18</v>
      </c>
      <c r="L34" s="50"/>
      <c r="M34" s="48"/>
      <c r="N34" s="49"/>
      <c r="O34" s="37"/>
      <c r="P34" s="36" t="s">
        <v>18</v>
      </c>
      <c r="Q34" s="59"/>
    </row>
    <row r="35" s="67" customFormat="true" ht="14.25" hidden="false" customHeight="false" outlineLevel="0" collapsed="false">
      <c r="A35" s="29"/>
      <c r="B35" s="30"/>
      <c r="C35" s="62" t="n">
        <v>5</v>
      </c>
      <c r="D35" s="62" t="n">
        <v>1</v>
      </c>
      <c r="E35" s="62" t="n">
        <v>60</v>
      </c>
      <c r="F35" s="62" t="n">
        <v>60</v>
      </c>
      <c r="G35" s="62" t="n">
        <v>40</v>
      </c>
      <c r="H35" s="62" t="s">
        <v>17</v>
      </c>
      <c r="I35" s="8" t="n">
        <f aca="false">D35*E35*F35*G35</f>
        <v>144000</v>
      </c>
      <c r="J35" s="62" t="n">
        <v>18.2</v>
      </c>
      <c r="K35" s="62" t="s">
        <v>18</v>
      </c>
      <c r="L35" s="63" t="s">
        <v>46</v>
      </c>
      <c r="M35" s="64" t="n">
        <f aca="false">E35*F35*G35</f>
        <v>144000</v>
      </c>
      <c r="N35" s="45" t="n">
        <f aca="false">I35/M35</f>
        <v>1</v>
      </c>
      <c r="O35" s="65"/>
      <c r="P35" s="62" t="s">
        <v>18</v>
      </c>
      <c r="Q35" s="66"/>
    </row>
    <row r="36" customFormat="false" ht="14.25" hidden="false" customHeight="false" outlineLevel="0" collapsed="false">
      <c r="A36" s="29" t="n">
        <v>12</v>
      </c>
      <c r="B36" s="30" t="s">
        <v>47</v>
      </c>
      <c r="C36" s="31" t="n">
        <v>1</v>
      </c>
      <c r="D36" s="31" t="n">
        <v>1</v>
      </c>
      <c r="E36" s="31" t="n">
        <v>22</v>
      </c>
      <c r="F36" s="31" t="n">
        <v>14</v>
      </c>
      <c r="G36" s="31" t="n">
        <v>7</v>
      </c>
      <c r="H36" s="31" t="s">
        <v>17</v>
      </c>
      <c r="I36" s="8" t="n">
        <f aca="false">D36*E36*F36*G36</f>
        <v>2156</v>
      </c>
      <c r="J36" s="31" t="n">
        <v>0.6</v>
      </c>
      <c r="K36" s="31" t="s">
        <v>18</v>
      </c>
      <c r="L36" s="47" t="s">
        <v>48</v>
      </c>
      <c r="M36" s="48" t="n">
        <v>35152</v>
      </c>
      <c r="N36" s="33" t="n">
        <f aca="false">SUM(I36:I38)/M36</f>
        <v>0.139394629039599</v>
      </c>
      <c r="O36" s="34" t="n">
        <v>1.5</v>
      </c>
      <c r="P36" s="31" t="s">
        <v>18</v>
      </c>
      <c r="Q36" s="58"/>
    </row>
    <row r="37" customFormat="false" ht="14.25" hidden="false" customHeight="false" outlineLevel="0" collapsed="false">
      <c r="A37" s="29"/>
      <c r="B37" s="30"/>
      <c r="C37" s="36" t="n">
        <v>2</v>
      </c>
      <c r="D37" s="36" t="n">
        <v>1</v>
      </c>
      <c r="E37" s="36" t="n">
        <v>32</v>
      </c>
      <c r="F37" s="36" t="n">
        <v>14</v>
      </c>
      <c r="G37" s="36" t="n">
        <v>4</v>
      </c>
      <c r="H37" s="36" t="s">
        <v>17</v>
      </c>
      <c r="I37" s="8" t="n">
        <f aca="false">D37*E37*F37*G37</f>
        <v>1792</v>
      </c>
      <c r="J37" s="36" t="n">
        <v>0.15</v>
      </c>
      <c r="K37" s="36" t="s">
        <v>18</v>
      </c>
      <c r="L37" s="50"/>
      <c r="M37" s="48"/>
      <c r="N37" s="33"/>
      <c r="O37" s="37"/>
      <c r="P37" s="36" t="s">
        <v>18</v>
      </c>
      <c r="Q37" s="59"/>
    </row>
    <row r="38" customFormat="false" ht="14.25" hidden="false" customHeight="false" outlineLevel="0" collapsed="false">
      <c r="A38" s="29"/>
      <c r="B38" s="30"/>
      <c r="C38" s="60" t="n">
        <v>3</v>
      </c>
      <c r="D38" s="60" t="n">
        <v>1</v>
      </c>
      <c r="E38" s="60" t="n">
        <v>17</v>
      </c>
      <c r="F38" s="60" t="n">
        <v>14</v>
      </c>
      <c r="G38" s="60" t="n">
        <v>4</v>
      </c>
      <c r="H38" s="60" t="s">
        <v>17</v>
      </c>
      <c r="I38" s="8" t="n">
        <f aca="false">D38*E38*F38*G38</f>
        <v>952</v>
      </c>
      <c r="J38" s="60" t="n">
        <v>0.1</v>
      </c>
      <c r="K38" s="60" t="s">
        <v>18</v>
      </c>
      <c r="L38" s="68"/>
      <c r="M38" s="48"/>
      <c r="N38" s="33"/>
      <c r="O38" s="40"/>
      <c r="P38" s="60" t="s">
        <v>18</v>
      </c>
      <c r="Q38" s="61"/>
    </row>
    <row r="39" customFormat="false" ht="14.25" hidden="false" customHeight="false" outlineLevel="0" collapsed="false">
      <c r="A39" s="29" t="n">
        <v>13</v>
      </c>
      <c r="B39" s="30" t="s">
        <v>49</v>
      </c>
      <c r="C39" s="69" t="n">
        <v>1</v>
      </c>
      <c r="D39" s="69" t="n">
        <v>1</v>
      </c>
      <c r="E39" s="69" t="n">
        <v>36</v>
      </c>
      <c r="F39" s="69" t="n">
        <v>27</v>
      </c>
      <c r="G39" s="69" t="n">
        <v>14</v>
      </c>
      <c r="H39" s="69" t="s">
        <v>17</v>
      </c>
      <c r="I39" s="8" t="n">
        <f aca="false">D39*E39*F39*G39</f>
        <v>13608</v>
      </c>
      <c r="J39" s="69" t="n">
        <v>1</v>
      </c>
      <c r="K39" s="69" t="s">
        <v>18</v>
      </c>
      <c r="L39" s="44" t="s">
        <v>50</v>
      </c>
      <c r="M39" s="2" t="n">
        <v>35282.1</v>
      </c>
      <c r="N39" s="45" t="n">
        <f aca="false">I39/M39</f>
        <v>0.385691327897149</v>
      </c>
      <c r="O39" s="30" t="n">
        <v>1.7</v>
      </c>
      <c r="P39" s="69" t="s">
        <v>18</v>
      </c>
      <c r="Q39" s="70"/>
    </row>
    <row r="40" customFormat="false" ht="14.25" hidden="false" customHeight="false" outlineLevel="0" collapsed="false">
      <c r="A40" s="29" t="n">
        <v>14</v>
      </c>
      <c r="B40" s="30" t="s">
        <v>51</v>
      </c>
      <c r="C40" s="31" t="n">
        <v>1</v>
      </c>
      <c r="D40" s="31" t="n">
        <v>8</v>
      </c>
      <c r="E40" s="31" t="n">
        <v>33</v>
      </c>
      <c r="F40" s="31" t="n">
        <v>33</v>
      </c>
      <c r="G40" s="31" t="n">
        <v>5</v>
      </c>
      <c r="H40" s="31" t="s">
        <v>17</v>
      </c>
      <c r="I40" s="8" t="n">
        <f aca="false">D40*E40*F40*G40</f>
        <v>43560</v>
      </c>
      <c r="J40" s="31" t="n">
        <v>1.8</v>
      </c>
      <c r="K40" s="71" t="s">
        <v>18</v>
      </c>
      <c r="L40" s="72" t="s">
        <v>35</v>
      </c>
      <c r="M40" s="2" t="n">
        <v>49400</v>
      </c>
      <c r="N40" s="45" t="n">
        <f aca="false">I40/M40</f>
        <v>0.881781376518219</v>
      </c>
      <c r="O40" s="73" t="n">
        <v>15.7</v>
      </c>
      <c r="P40" s="74" t="s">
        <v>18</v>
      </c>
      <c r="Q40" s="58"/>
    </row>
    <row r="41" customFormat="false" ht="14.25" hidden="false" customHeight="false" outlineLevel="0" collapsed="false">
      <c r="A41" s="29"/>
      <c r="B41" s="30"/>
      <c r="C41" s="60" t="n">
        <v>1</v>
      </c>
      <c r="D41" s="60" t="n">
        <v>12</v>
      </c>
      <c r="E41" s="60" t="n">
        <v>33</v>
      </c>
      <c r="F41" s="60" t="n">
        <v>33</v>
      </c>
      <c r="G41" s="60" t="n">
        <v>5</v>
      </c>
      <c r="H41" s="60" t="s">
        <v>17</v>
      </c>
      <c r="I41" s="8" t="n">
        <f aca="false">D41*E41*F41*G41</f>
        <v>65340</v>
      </c>
      <c r="J41" s="60" t="n">
        <v>1.8</v>
      </c>
      <c r="K41" s="75" t="s">
        <v>18</v>
      </c>
      <c r="L41" s="72" t="s">
        <v>45</v>
      </c>
      <c r="M41" s="2" t="n">
        <v>85196</v>
      </c>
      <c r="N41" s="45" t="n">
        <f aca="false">I41/M41</f>
        <v>0.766937414902108</v>
      </c>
      <c r="O41" s="73" t="n">
        <v>23.6</v>
      </c>
      <c r="P41" s="76" t="s">
        <v>18</v>
      </c>
      <c r="Q41" s="61"/>
    </row>
    <row r="42" customFormat="false" ht="14.25" hidden="false" customHeight="false" outlineLevel="0" collapsed="false">
      <c r="A42" s="29" t="n">
        <v>15</v>
      </c>
      <c r="B42" s="30" t="s">
        <v>52</v>
      </c>
      <c r="C42" s="31" t="n">
        <v>1</v>
      </c>
      <c r="D42" s="31" t="n">
        <v>5</v>
      </c>
      <c r="E42" s="31" t="n">
        <v>53</v>
      </c>
      <c r="F42" s="31" t="n">
        <v>30</v>
      </c>
      <c r="G42" s="31" t="n">
        <v>10</v>
      </c>
      <c r="H42" s="31" t="s">
        <v>17</v>
      </c>
      <c r="I42" s="8" t="n">
        <f aca="false">D42*E42*F42*G42</f>
        <v>79500</v>
      </c>
      <c r="J42" s="31" t="n">
        <v>0.5</v>
      </c>
      <c r="K42" s="31" t="s">
        <v>18</v>
      </c>
      <c r="L42" s="47" t="s">
        <v>53</v>
      </c>
      <c r="M42" s="48" t="n">
        <v>134657</v>
      </c>
      <c r="N42" s="33" t="n">
        <f aca="false">SUM(I42:I44)/M42</f>
        <v>0.603815620428199</v>
      </c>
      <c r="O42" s="34" t="n">
        <v>5.5</v>
      </c>
      <c r="P42" s="31" t="s">
        <v>18</v>
      </c>
      <c r="Q42" s="58"/>
    </row>
    <row r="43" customFormat="false" ht="14.25" hidden="false" customHeight="false" outlineLevel="0" collapsed="false">
      <c r="A43" s="29"/>
      <c r="B43" s="30"/>
      <c r="C43" s="77" t="n">
        <v>2</v>
      </c>
      <c r="D43" s="77" t="n">
        <v>2</v>
      </c>
      <c r="E43" s="77" t="n">
        <v>14</v>
      </c>
      <c r="F43" s="77" t="n">
        <v>12</v>
      </c>
      <c r="G43" s="77" t="n">
        <v>3</v>
      </c>
      <c r="H43" s="36" t="s">
        <v>17</v>
      </c>
      <c r="I43" s="8" t="n">
        <f aca="false">D43*E43*F43*G43</f>
        <v>1008</v>
      </c>
      <c r="J43" s="36" t="n">
        <v>0.15</v>
      </c>
      <c r="K43" s="36" t="s">
        <v>18</v>
      </c>
      <c r="L43" s="50"/>
      <c r="M43" s="48"/>
      <c r="N43" s="33"/>
      <c r="O43" s="37"/>
      <c r="P43" s="36" t="s">
        <v>18</v>
      </c>
      <c r="Q43" s="78"/>
    </row>
    <row r="44" customFormat="false" ht="14.25" hidden="false" customHeight="false" outlineLevel="0" collapsed="false">
      <c r="A44" s="29"/>
      <c r="B44" s="30"/>
      <c r="C44" s="79" t="n">
        <v>3</v>
      </c>
      <c r="D44" s="79" t="n">
        <v>2</v>
      </c>
      <c r="E44" s="79" t="n">
        <v>10</v>
      </c>
      <c r="F44" s="79" t="n">
        <v>10</v>
      </c>
      <c r="G44" s="79" t="n">
        <v>4</v>
      </c>
      <c r="H44" s="60" t="s">
        <v>17</v>
      </c>
      <c r="I44" s="8" t="n">
        <f aca="false">D44*E44*F44*G44</f>
        <v>800</v>
      </c>
      <c r="J44" s="60" t="n">
        <v>0.15</v>
      </c>
      <c r="K44" s="60" t="s">
        <v>18</v>
      </c>
      <c r="L44" s="51"/>
      <c r="M44" s="48"/>
      <c r="N44" s="33"/>
      <c r="O44" s="40"/>
      <c r="P44" s="60" t="s">
        <v>18</v>
      </c>
      <c r="Q44" s="41"/>
    </row>
    <row r="45" customFormat="false" ht="14.25" hidden="false" customHeight="false" outlineLevel="0" collapsed="false">
      <c r="A45" s="29" t="n">
        <v>16</v>
      </c>
      <c r="B45" s="30" t="s">
        <v>54</v>
      </c>
      <c r="C45" s="69" t="n">
        <v>1</v>
      </c>
      <c r="D45" s="69" t="n">
        <v>1</v>
      </c>
      <c r="E45" s="69" t="n">
        <v>72</v>
      </c>
      <c r="F45" s="69" t="n">
        <v>49</v>
      </c>
      <c r="G45" s="69" t="n">
        <v>46</v>
      </c>
      <c r="H45" s="69" t="s">
        <v>17</v>
      </c>
      <c r="I45" s="8" t="n">
        <f aca="false">D45*E45*F45*G45</f>
        <v>162288</v>
      </c>
      <c r="J45" s="69" t="n">
        <v>21.35</v>
      </c>
      <c r="K45" s="69" t="s">
        <v>18</v>
      </c>
      <c r="L45" s="80" t="s">
        <v>55</v>
      </c>
      <c r="M45" s="2" t="n">
        <v>244530</v>
      </c>
      <c r="N45" s="45" t="n">
        <f aca="false">I45/M45</f>
        <v>0.663673168936327</v>
      </c>
      <c r="O45" s="30" t="n">
        <v>2.5</v>
      </c>
      <c r="P45" s="69" t="s">
        <v>18</v>
      </c>
      <c r="Q45" s="70"/>
    </row>
    <row r="46" customFormat="false" ht="14.25" hidden="false" customHeight="false" outlineLevel="0" collapsed="false">
      <c r="A46" s="29" t="n">
        <v>17</v>
      </c>
      <c r="B46" s="30" t="s">
        <v>56</v>
      </c>
      <c r="C46" s="69" t="n">
        <v>1</v>
      </c>
      <c r="D46" s="69" t="n">
        <v>1</v>
      </c>
      <c r="E46" s="69" t="n">
        <v>21</v>
      </c>
      <c r="F46" s="69" t="n">
        <v>14</v>
      </c>
      <c r="G46" s="69" t="n">
        <v>12</v>
      </c>
      <c r="H46" s="69" t="s">
        <v>17</v>
      </c>
      <c r="I46" s="8" t="n">
        <f aca="false">D46*E46*F46*G46</f>
        <v>3528</v>
      </c>
      <c r="J46" s="69" t="n">
        <v>0.35</v>
      </c>
      <c r="K46" s="69" t="s">
        <v>18</v>
      </c>
      <c r="L46" s="10" t="s">
        <v>57</v>
      </c>
      <c r="O46" s="30" t="n">
        <v>0.65</v>
      </c>
      <c r="P46" s="69" t="s">
        <v>18</v>
      </c>
      <c r="Q46" s="70"/>
    </row>
    <row r="47" customFormat="false" ht="14.25" hidden="false" customHeight="false" outlineLevel="0" collapsed="false">
      <c r="A47" s="29" t="n">
        <v>18</v>
      </c>
      <c r="B47" s="30" t="s">
        <v>51</v>
      </c>
      <c r="C47" s="31" t="n">
        <v>1</v>
      </c>
      <c r="D47" s="31" t="n">
        <v>1</v>
      </c>
      <c r="E47" s="31" t="n">
        <v>33</v>
      </c>
      <c r="F47" s="31" t="n">
        <v>33</v>
      </c>
      <c r="G47" s="31" t="n">
        <v>15</v>
      </c>
      <c r="H47" s="31" t="s">
        <v>17</v>
      </c>
      <c r="I47" s="8" t="n">
        <f aca="false">D47*E47*F47*G47</f>
        <v>16335</v>
      </c>
      <c r="J47" s="31" t="n">
        <f aca="false">1.8</f>
        <v>1.8</v>
      </c>
      <c r="K47" s="71" t="s">
        <v>18</v>
      </c>
      <c r="L47" s="28" t="s">
        <v>58</v>
      </c>
      <c r="M47" s="81" t="n">
        <v>47912</v>
      </c>
      <c r="N47" s="45" t="n">
        <v>0.745</v>
      </c>
      <c r="O47" s="73" t="n">
        <v>15.7</v>
      </c>
      <c r="P47" s="74" t="s">
        <v>18</v>
      </c>
      <c r="Q47" s="58"/>
    </row>
    <row r="48" customFormat="false" ht="14.25" hidden="false" customHeight="false" outlineLevel="0" collapsed="false">
      <c r="A48" s="29"/>
      <c r="B48" s="30"/>
      <c r="C48" s="60" t="n">
        <v>1</v>
      </c>
      <c r="D48" s="60" t="n">
        <v>1</v>
      </c>
      <c r="E48" s="60" t="n">
        <v>33</v>
      </c>
      <c r="F48" s="60" t="n">
        <v>33</v>
      </c>
      <c r="G48" s="60" t="n">
        <v>15</v>
      </c>
      <c r="H48" s="60" t="s">
        <v>17</v>
      </c>
      <c r="I48" s="8" t="n">
        <f aca="false">D48*E48*F48*G48</f>
        <v>16335</v>
      </c>
      <c r="J48" s="31" t="n">
        <f aca="false">1.8</f>
        <v>1.8</v>
      </c>
      <c r="K48" s="75" t="s">
        <v>18</v>
      </c>
      <c r="L48" s="28" t="s">
        <v>58</v>
      </c>
      <c r="M48" s="81"/>
      <c r="N48" s="45"/>
      <c r="O48" s="73" t="n">
        <v>23.6</v>
      </c>
      <c r="P48" s="76" t="s">
        <v>18</v>
      </c>
      <c r="Q48" s="61"/>
    </row>
    <row r="49" customFormat="false" ht="14.25" hidden="false" customHeight="false" outlineLevel="0" collapsed="false">
      <c r="A49" s="29"/>
      <c r="B49" s="30"/>
      <c r="C49" s="60" t="n">
        <v>1</v>
      </c>
      <c r="D49" s="60" t="n">
        <v>1</v>
      </c>
      <c r="E49" s="60" t="n">
        <v>33</v>
      </c>
      <c r="F49" s="60" t="n">
        <v>33</v>
      </c>
      <c r="G49" s="60" t="n">
        <v>15</v>
      </c>
      <c r="H49" s="60" t="s">
        <v>17</v>
      </c>
      <c r="I49" s="8" t="n">
        <f aca="false">D49*E49*F49*G49</f>
        <v>16335</v>
      </c>
      <c r="J49" s="31" t="n">
        <f aca="false">1.8</f>
        <v>1.8</v>
      </c>
      <c r="K49" s="75" t="s">
        <v>18</v>
      </c>
      <c r="L49" s="28" t="s">
        <v>58</v>
      </c>
      <c r="M49" s="81" t="n">
        <v>47912</v>
      </c>
      <c r="N49" s="45"/>
      <c r="O49" s="73" t="n">
        <v>23.6</v>
      </c>
      <c r="P49" s="76" t="s">
        <v>18</v>
      </c>
      <c r="Q49" s="61"/>
    </row>
    <row r="50" customFormat="false" ht="14.25" hidden="false" customHeight="false" outlineLevel="0" collapsed="false">
      <c r="A50" s="29"/>
      <c r="B50" s="30"/>
      <c r="C50" s="60" t="n">
        <v>1</v>
      </c>
      <c r="D50" s="60" t="n">
        <v>1</v>
      </c>
      <c r="E50" s="60" t="n">
        <v>33</v>
      </c>
      <c r="F50" s="60" t="n">
        <v>33</v>
      </c>
      <c r="G50" s="60" t="n">
        <v>15</v>
      </c>
      <c r="H50" s="60" t="s">
        <v>17</v>
      </c>
      <c r="I50" s="8" t="n">
        <f aca="false">D50*E50*F50*G50</f>
        <v>16335</v>
      </c>
      <c r="J50" s="31" t="n">
        <f aca="false">1.8</f>
        <v>1.8</v>
      </c>
      <c r="K50" s="75" t="s">
        <v>18</v>
      </c>
      <c r="L50" s="28" t="s">
        <v>58</v>
      </c>
      <c r="M50" s="81"/>
      <c r="N50" s="45"/>
      <c r="O50" s="73" t="n">
        <v>23.6</v>
      </c>
      <c r="P50" s="76" t="s">
        <v>18</v>
      </c>
      <c r="Q50" s="61"/>
    </row>
    <row r="51" customFormat="false" ht="14.25" hidden="false" customHeight="false" outlineLevel="0" collapsed="false">
      <c r="A51" s="29"/>
      <c r="B51" s="30"/>
      <c r="C51" s="60" t="n">
        <v>1</v>
      </c>
      <c r="D51" s="60" t="n">
        <v>1</v>
      </c>
      <c r="E51" s="60" t="n">
        <v>33</v>
      </c>
      <c r="F51" s="60" t="n">
        <v>33</v>
      </c>
      <c r="G51" s="60" t="n">
        <v>20</v>
      </c>
      <c r="H51" s="60" t="s">
        <v>17</v>
      </c>
      <c r="I51" s="8" t="n">
        <f aca="false">D51*E51*F51*G51</f>
        <v>21780</v>
      </c>
      <c r="J51" s="31" t="n">
        <f aca="false">1.8</f>
        <v>1.8</v>
      </c>
      <c r="K51" s="75" t="s">
        <v>18</v>
      </c>
      <c r="L51" s="28" t="s">
        <v>59</v>
      </c>
      <c r="M51" s="2" t="n">
        <v>25113</v>
      </c>
      <c r="N51" s="45"/>
      <c r="O51" s="73" t="n">
        <v>23.6</v>
      </c>
      <c r="P51" s="76" t="s">
        <v>18</v>
      </c>
      <c r="Q51" s="61"/>
    </row>
    <row r="52" customFormat="false" ht="14.25" hidden="false" customHeight="false" outlineLevel="0" collapsed="false">
      <c r="A52" s="29"/>
      <c r="B52" s="30"/>
      <c r="C52" s="60" t="n">
        <v>1</v>
      </c>
      <c r="D52" s="60" t="n">
        <v>1</v>
      </c>
      <c r="E52" s="60" t="n">
        <v>33</v>
      </c>
      <c r="F52" s="60" t="n">
        <v>33</v>
      </c>
      <c r="G52" s="60" t="n">
        <v>20</v>
      </c>
      <c r="H52" s="60" t="s">
        <v>17</v>
      </c>
      <c r="I52" s="8" t="n">
        <f aca="false">D52*E52*F52*G52</f>
        <v>21780</v>
      </c>
      <c r="J52" s="31" t="n">
        <f aca="false">1.8</f>
        <v>1.8</v>
      </c>
      <c r="K52" s="75" t="s">
        <v>18</v>
      </c>
      <c r="L52" s="28" t="s">
        <v>59</v>
      </c>
      <c r="M52" s="2" t="n">
        <v>25113</v>
      </c>
      <c r="N52" s="45"/>
      <c r="O52" s="73" t="n">
        <v>23.6</v>
      </c>
      <c r="P52" s="76" t="s">
        <v>18</v>
      </c>
      <c r="Q52" s="61"/>
    </row>
    <row r="53" customFormat="false" ht="14.25" hidden="false" customHeight="false" outlineLevel="0" collapsed="false">
      <c r="A53" s="29" t="n">
        <v>19</v>
      </c>
      <c r="B53" s="30" t="s">
        <v>51</v>
      </c>
      <c r="C53" s="31" t="n">
        <v>1</v>
      </c>
      <c r="D53" s="31" t="n">
        <v>1</v>
      </c>
      <c r="E53" s="31" t="n">
        <v>33</v>
      </c>
      <c r="F53" s="31" t="n">
        <v>33</v>
      </c>
      <c r="G53" s="31" t="n">
        <v>10</v>
      </c>
      <c r="H53" s="31" t="s">
        <v>17</v>
      </c>
      <c r="I53" s="8" t="n">
        <f aca="false">D53*E53*F53*G53</f>
        <v>10890</v>
      </c>
      <c r="J53" s="31" t="n">
        <f aca="false">1.8</f>
        <v>1.8</v>
      </c>
      <c r="K53" s="71" t="s">
        <v>18</v>
      </c>
      <c r="L53" s="28" t="s">
        <v>59</v>
      </c>
      <c r="M53" s="81" t="n">
        <v>25113</v>
      </c>
      <c r="N53" s="45" t="n">
        <v>0.86</v>
      </c>
      <c r="O53" s="73" t="n">
        <v>15.7</v>
      </c>
      <c r="P53" s="74" t="s">
        <v>18</v>
      </c>
      <c r="Q53" s="58"/>
    </row>
    <row r="54" customFormat="false" ht="14.25" hidden="false" customHeight="false" outlineLevel="0" collapsed="false">
      <c r="A54" s="29"/>
      <c r="B54" s="30"/>
      <c r="C54" s="60" t="n">
        <v>1</v>
      </c>
      <c r="D54" s="60" t="n">
        <v>1</v>
      </c>
      <c r="E54" s="60" t="n">
        <v>33</v>
      </c>
      <c r="F54" s="60" t="n">
        <v>33</v>
      </c>
      <c r="G54" s="60" t="n">
        <v>10</v>
      </c>
      <c r="H54" s="60" t="s">
        <v>17</v>
      </c>
      <c r="I54" s="8" t="n">
        <f aca="false">D54*E54*F54*G54</f>
        <v>10890</v>
      </c>
      <c r="J54" s="31" t="n">
        <f aca="false">1.8</f>
        <v>1.8</v>
      </c>
      <c r="K54" s="75" t="s">
        <v>18</v>
      </c>
      <c r="L54" s="28" t="s">
        <v>59</v>
      </c>
      <c r="M54" s="81"/>
      <c r="N54" s="45"/>
      <c r="O54" s="73" t="n">
        <v>23.6</v>
      </c>
      <c r="P54" s="76" t="s">
        <v>18</v>
      </c>
      <c r="Q54" s="61"/>
    </row>
    <row r="55" customFormat="false" ht="14.25" hidden="false" customHeight="false" outlineLevel="0" collapsed="false">
      <c r="A55" s="29"/>
      <c r="B55" s="30"/>
      <c r="C55" s="60" t="n">
        <v>1</v>
      </c>
      <c r="D55" s="60" t="n">
        <v>1</v>
      </c>
      <c r="E55" s="60" t="n">
        <v>33</v>
      </c>
      <c r="F55" s="60" t="n">
        <v>33</v>
      </c>
      <c r="G55" s="60" t="n">
        <v>10</v>
      </c>
      <c r="H55" s="60" t="s">
        <v>17</v>
      </c>
      <c r="I55" s="8" t="n">
        <f aca="false">D55*E55*F55*G55</f>
        <v>10890</v>
      </c>
      <c r="J55" s="31" t="n">
        <f aca="false">1.8</f>
        <v>1.8</v>
      </c>
      <c r="K55" s="75" t="s">
        <v>18</v>
      </c>
      <c r="L55" s="28" t="s">
        <v>59</v>
      </c>
      <c r="M55" s="81" t="n">
        <v>25113</v>
      </c>
      <c r="N55" s="45"/>
      <c r="O55" s="73" t="n">
        <v>23.6</v>
      </c>
      <c r="P55" s="76" t="s">
        <v>18</v>
      </c>
      <c r="Q55" s="61"/>
    </row>
    <row r="56" customFormat="false" ht="14.25" hidden="false" customHeight="false" outlineLevel="0" collapsed="false">
      <c r="A56" s="29"/>
      <c r="B56" s="30"/>
      <c r="C56" s="60" t="n">
        <v>1</v>
      </c>
      <c r="D56" s="60" t="n">
        <v>1</v>
      </c>
      <c r="E56" s="60" t="n">
        <v>33</v>
      </c>
      <c r="F56" s="60" t="n">
        <v>33</v>
      </c>
      <c r="G56" s="60" t="n">
        <v>10</v>
      </c>
      <c r="H56" s="60" t="s">
        <v>17</v>
      </c>
      <c r="I56" s="8" t="n">
        <f aca="false">D56*E56*F56*G56</f>
        <v>10890</v>
      </c>
      <c r="J56" s="31" t="n">
        <f aca="false">1.8</f>
        <v>1.8</v>
      </c>
      <c r="K56" s="75" t="s">
        <v>18</v>
      </c>
      <c r="L56" s="28" t="s">
        <v>59</v>
      </c>
      <c r="M56" s="81"/>
      <c r="N56" s="45"/>
      <c r="O56" s="73" t="n">
        <v>23.6</v>
      </c>
      <c r="P56" s="76" t="s">
        <v>18</v>
      </c>
      <c r="Q56" s="61"/>
    </row>
    <row r="57" customFormat="false" ht="14.25" hidden="false" customHeight="false" outlineLevel="0" collapsed="false">
      <c r="A57" s="29"/>
      <c r="B57" s="30"/>
      <c r="C57" s="60" t="n">
        <v>1</v>
      </c>
      <c r="D57" s="60" t="n">
        <v>1</v>
      </c>
      <c r="E57" s="60" t="n">
        <v>33</v>
      </c>
      <c r="F57" s="60" t="n">
        <v>33</v>
      </c>
      <c r="G57" s="60" t="n">
        <v>10</v>
      </c>
      <c r="H57" s="60" t="s">
        <v>17</v>
      </c>
      <c r="I57" s="8" t="n">
        <f aca="false">D57*E57*F57*G57</f>
        <v>10890</v>
      </c>
      <c r="J57" s="31" t="n">
        <f aca="false">1.8</f>
        <v>1.8</v>
      </c>
      <c r="K57" s="75" t="s">
        <v>18</v>
      </c>
      <c r="L57" s="28" t="s">
        <v>59</v>
      </c>
      <c r="M57" s="81" t="n">
        <v>25113</v>
      </c>
      <c r="N57" s="45"/>
      <c r="O57" s="73" t="n">
        <v>23.6</v>
      </c>
      <c r="P57" s="76" t="s">
        <v>18</v>
      </c>
      <c r="Q57" s="61"/>
    </row>
    <row r="58" customFormat="false" ht="14.25" hidden="false" customHeight="false" outlineLevel="0" collapsed="false">
      <c r="A58" s="29"/>
      <c r="B58" s="30"/>
      <c r="C58" s="60" t="n">
        <v>1</v>
      </c>
      <c r="D58" s="60" t="n">
        <v>1</v>
      </c>
      <c r="E58" s="60" t="n">
        <v>33</v>
      </c>
      <c r="F58" s="60" t="n">
        <v>33</v>
      </c>
      <c r="G58" s="60" t="n">
        <v>10</v>
      </c>
      <c r="H58" s="60" t="s">
        <v>17</v>
      </c>
      <c r="I58" s="8" t="n">
        <f aca="false">D58*E58*F58*G58</f>
        <v>10890</v>
      </c>
      <c r="J58" s="31" t="n">
        <f aca="false">1.8</f>
        <v>1.8</v>
      </c>
      <c r="K58" s="75" t="s">
        <v>18</v>
      </c>
      <c r="L58" s="28" t="s">
        <v>59</v>
      </c>
      <c r="M58" s="81"/>
      <c r="N58" s="45"/>
      <c r="O58" s="73" t="n">
        <v>23.6</v>
      </c>
      <c r="P58" s="76" t="s">
        <v>18</v>
      </c>
      <c r="Q58" s="61"/>
    </row>
    <row r="59" customFormat="false" ht="14.25" hidden="false" customHeight="false" outlineLevel="0" collapsed="false">
      <c r="A59" s="29"/>
      <c r="B59" s="30"/>
      <c r="C59" s="60" t="n">
        <v>1</v>
      </c>
      <c r="D59" s="60" t="n">
        <v>1</v>
      </c>
      <c r="E59" s="60" t="n">
        <v>33</v>
      </c>
      <c r="F59" s="60" t="n">
        <v>33</v>
      </c>
      <c r="G59" s="60" t="n">
        <v>20</v>
      </c>
      <c r="H59" s="60" t="s">
        <v>17</v>
      </c>
      <c r="I59" s="8" t="n">
        <f aca="false">D59*E59*F59*G59</f>
        <v>21780</v>
      </c>
      <c r="J59" s="31" t="n">
        <f aca="false">1.8</f>
        <v>1.8</v>
      </c>
      <c r="K59" s="75" t="s">
        <v>18</v>
      </c>
      <c r="L59" s="28" t="s">
        <v>59</v>
      </c>
      <c r="M59" s="2" t="n">
        <v>25113</v>
      </c>
      <c r="N59" s="45"/>
      <c r="O59" s="73" t="n">
        <v>23.6</v>
      </c>
      <c r="P59" s="76" t="s">
        <v>18</v>
      </c>
      <c r="Q59" s="61"/>
    </row>
    <row r="60" customFormat="false" ht="14.25" hidden="false" customHeight="false" outlineLevel="0" collapsed="false">
      <c r="A60" s="29"/>
      <c r="B60" s="30"/>
      <c r="C60" s="60" t="n">
        <v>1</v>
      </c>
      <c r="D60" s="60" t="n">
        <v>1</v>
      </c>
      <c r="E60" s="60" t="n">
        <v>33</v>
      </c>
      <c r="F60" s="60" t="n">
        <v>33</v>
      </c>
      <c r="G60" s="60" t="n">
        <v>20</v>
      </c>
      <c r="H60" s="60" t="s">
        <v>17</v>
      </c>
      <c r="I60" s="8" t="n">
        <f aca="false">D60*E60*F60*G60</f>
        <v>21780</v>
      </c>
      <c r="J60" s="31" t="n">
        <f aca="false">1.8</f>
        <v>1.8</v>
      </c>
      <c r="K60" s="75" t="s">
        <v>18</v>
      </c>
      <c r="L60" s="28" t="s">
        <v>59</v>
      </c>
      <c r="M60" s="2" t="n">
        <v>25113</v>
      </c>
      <c r="N60" s="45"/>
      <c r="O60" s="73" t="n">
        <v>23.6</v>
      </c>
      <c r="P60" s="76" t="s">
        <v>18</v>
      </c>
      <c r="Q60" s="61"/>
    </row>
    <row r="61" customFormat="false" ht="14.25" hidden="false" customHeight="false" outlineLevel="0" collapsed="false">
      <c r="A61" s="29" t="n">
        <v>20</v>
      </c>
      <c r="B61" s="30" t="s">
        <v>51</v>
      </c>
      <c r="C61" s="31" t="n">
        <v>1</v>
      </c>
      <c r="D61" s="31" t="n">
        <v>1</v>
      </c>
      <c r="E61" s="31" t="n">
        <v>33</v>
      </c>
      <c r="F61" s="31" t="n">
        <v>33</v>
      </c>
      <c r="G61" s="31" t="n">
        <v>10</v>
      </c>
      <c r="H61" s="31" t="s">
        <v>17</v>
      </c>
      <c r="I61" s="8" t="n">
        <f aca="false">D61*E61*F61*G61</f>
        <v>10890</v>
      </c>
      <c r="J61" s="31" t="n">
        <f aca="false">1.8</f>
        <v>1.8</v>
      </c>
      <c r="K61" s="71" t="s">
        <v>18</v>
      </c>
      <c r="L61" s="28" t="s">
        <v>60</v>
      </c>
      <c r="M61" s="81" t="n">
        <v>29179</v>
      </c>
      <c r="N61" s="45" t="n">
        <v>0.93</v>
      </c>
      <c r="O61" s="73" t="n">
        <v>15.7</v>
      </c>
      <c r="P61" s="74" t="s">
        <v>18</v>
      </c>
      <c r="Q61" s="58"/>
    </row>
    <row r="62" customFormat="false" ht="14.25" hidden="false" customHeight="false" outlineLevel="0" collapsed="false">
      <c r="A62" s="29"/>
      <c r="B62" s="30"/>
      <c r="C62" s="60" t="n">
        <v>1</v>
      </c>
      <c r="D62" s="60" t="n">
        <v>1</v>
      </c>
      <c r="E62" s="60" t="n">
        <v>33</v>
      </c>
      <c r="F62" s="60" t="n">
        <v>33</v>
      </c>
      <c r="G62" s="60" t="n">
        <v>15</v>
      </c>
      <c r="H62" s="60" t="s">
        <v>17</v>
      </c>
      <c r="I62" s="8" t="n">
        <f aca="false">D62*E62*F62*G62</f>
        <v>16335</v>
      </c>
      <c r="J62" s="31" t="n">
        <f aca="false">1.8</f>
        <v>1.8</v>
      </c>
      <c r="K62" s="75" t="s">
        <v>18</v>
      </c>
      <c r="L62" s="28"/>
      <c r="M62" s="81" t="n">
        <v>29179</v>
      </c>
      <c r="N62" s="45"/>
      <c r="O62" s="73" t="n">
        <v>23.6</v>
      </c>
      <c r="P62" s="76" t="s">
        <v>18</v>
      </c>
      <c r="Q62" s="61"/>
    </row>
    <row r="63" customFormat="false" ht="14.25" hidden="false" customHeight="false" outlineLevel="0" collapsed="false">
      <c r="A63" s="29"/>
      <c r="B63" s="30"/>
      <c r="C63" s="60" t="n">
        <v>1</v>
      </c>
      <c r="D63" s="60" t="n">
        <v>1</v>
      </c>
      <c r="E63" s="60" t="n">
        <v>33</v>
      </c>
      <c r="F63" s="60" t="n">
        <v>33</v>
      </c>
      <c r="G63" s="60" t="n">
        <v>10</v>
      </c>
      <c r="H63" s="60" t="s">
        <v>17</v>
      </c>
      <c r="I63" s="8" t="n">
        <f aca="false">D63*E63*F63*G63</f>
        <v>10890</v>
      </c>
      <c r="J63" s="31" t="n">
        <f aca="false">1.8</f>
        <v>1.8</v>
      </c>
      <c r="K63" s="75" t="s">
        <v>18</v>
      </c>
      <c r="L63" s="28" t="s">
        <v>60</v>
      </c>
      <c r="M63" s="81" t="n">
        <v>29179</v>
      </c>
      <c r="N63" s="45"/>
      <c r="O63" s="73" t="n">
        <v>23.6</v>
      </c>
      <c r="P63" s="76" t="s">
        <v>18</v>
      </c>
      <c r="Q63" s="61"/>
    </row>
    <row r="64" customFormat="false" ht="14.25" hidden="false" customHeight="false" outlineLevel="0" collapsed="false">
      <c r="A64" s="29"/>
      <c r="B64" s="30"/>
      <c r="C64" s="60" t="n">
        <v>1</v>
      </c>
      <c r="D64" s="60" t="n">
        <v>1</v>
      </c>
      <c r="E64" s="60" t="n">
        <v>33</v>
      </c>
      <c r="F64" s="60" t="n">
        <v>33</v>
      </c>
      <c r="G64" s="60" t="n">
        <v>15</v>
      </c>
      <c r="H64" s="60" t="s">
        <v>17</v>
      </c>
      <c r="I64" s="8" t="n">
        <f aca="false">D64*E64*F64*G64</f>
        <v>16335</v>
      </c>
      <c r="J64" s="31" t="n">
        <f aca="false">1.8</f>
        <v>1.8</v>
      </c>
      <c r="K64" s="75" t="s">
        <v>18</v>
      </c>
      <c r="L64" s="28"/>
      <c r="M64" s="81" t="n">
        <v>29179</v>
      </c>
      <c r="N64" s="45"/>
      <c r="O64" s="73" t="n">
        <v>23.6</v>
      </c>
      <c r="P64" s="76" t="s">
        <v>18</v>
      </c>
      <c r="Q64" s="61"/>
    </row>
    <row r="65" customFormat="false" ht="14.25" hidden="false" customHeight="false" outlineLevel="0" collapsed="false">
      <c r="A65" s="29"/>
      <c r="B65" s="30"/>
      <c r="C65" s="60" t="n">
        <v>1</v>
      </c>
      <c r="D65" s="60" t="n">
        <v>1</v>
      </c>
      <c r="E65" s="60" t="n">
        <v>33</v>
      </c>
      <c r="F65" s="60" t="n">
        <v>33</v>
      </c>
      <c r="G65" s="60" t="n">
        <v>10</v>
      </c>
      <c r="H65" s="60" t="s">
        <v>17</v>
      </c>
      <c r="I65" s="8" t="n">
        <f aca="false">D65*E65*F65*G65</f>
        <v>10890</v>
      </c>
      <c r="J65" s="31" t="n">
        <f aca="false">1.8</f>
        <v>1.8</v>
      </c>
      <c r="K65" s="75" t="s">
        <v>18</v>
      </c>
      <c r="L65" s="28" t="s">
        <v>60</v>
      </c>
      <c r="M65" s="81" t="n">
        <v>29179</v>
      </c>
      <c r="N65" s="45"/>
      <c r="O65" s="73" t="n">
        <v>23.6</v>
      </c>
      <c r="P65" s="76" t="s">
        <v>18</v>
      </c>
      <c r="Q65" s="61"/>
    </row>
    <row r="66" customFormat="false" ht="14.25" hidden="false" customHeight="false" outlineLevel="0" collapsed="false">
      <c r="A66" s="29"/>
      <c r="B66" s="30"/>
      <c r="C66" s="60" t="n">
        <v>1</v>
      </c>
      <c r="D66" s="60" t="n">
        <v>1</v>
      </c>
      <c r="E66" s="60" t="n">
        <v>33</v>
      </c>
      <c r="F66" s="60" t="n">
        <v>33</v>
      </c>
      <c r="G66" s="60" t="n">
        <v>15</v>
      </c>
      <c r="H66" s="60" t="s">
        <v>17</v>
      </c>
      <c r="I66" s="8" t="n">
        <f aca="false">D66*E66*F66*G66</f>
        <v>16335</v>
      </c>
      <c r="J66" s="31" t="n">
        <f aca="false">1.8</f>
        <v>1.8</v>
      </c>
      <c r="K66" s="75" t="s">
        <v>18</v>
      </c>
      <c r="L66" s="28"/>
      <c r="M66" s="81" t="n">
        <v>29179</v>
      </c>
      <c r="N66" s="45"/>
      <c r="O66" s="73" t="n">
        <v>23.6</v>
      </c>
      <c r="P66" s="76" t="s">
        <v>18</v>
      </c>
      <c r="Q66" s="61"/>
    </row>
    <row r="67" customFormat="false" ht="14.25" hidden="false" customHeight="false" outlineLevel="0" collapsed="false">
      <c r="A67" s="29"/>
      <c r="B67" s="30"/>
      <c r="C67" s="60" t="n">
        <v>1</v>
      </c>
      <c r="D67" s="60" t="n">
        <v>1</v>
      </c>
      <c r="E67" s="60" t="n">
        <v>33</v>
      </c>
      <c r="F67" s="60" t="n">
        <v>33</v>
      </c>
      <c r="G67" s="60" t="n">
        <v>10</v>
      </c>
      <c r="H67" s="60" t="s">
        <v>17</v>
      </c>
      <c r="I67" s="8" t="n">
        <f aca="false">D67*E67*F67*G67</f>
        <v>10890</v>
      </c>
      <c r="J67" s="31" t="n">
        <f aca="false">1.8</f>
        <v>1.8</v>
      </c>
      <c r="K67" s="75" t="s">
        <v>18</v>
      </c>
      <c r="L67" s="28" t="s">
        <v>60</v>
      </c>
      <c r="M67" s="81" t="n">
        <v>29179</v>
      </c>
      <c r="N67" s="45"/>
      <c r="O67" s="73" t="n">
        <v>23.6</v>
      </c>
      <c r="P67" s="76" t="s">
        <v>18</v>
      </c>
      <c r="Q67" s="61"/>
    </row>
    <row r="68" customFormat="false" ht="14.25" hidden="false" customHeight="false" outlineLevel="0" collapsed="false">
      <c r="A68" s="29"/>
      <c r="B68" s="30"/>
      <c r="C68" s="60" t="n">
        <v>1</v>
      </c>
      <c r="D68" s="60" t="n">
        <v>1</v>
      </c>
      <c r="E68" s="60" t="n">
        <v>33</v>
      </c>
      <c r="F68" s="60" t="n">
        <v>33</v>
      </c>
      <c r="G68" s="60" t="n">
        <v>15</v>
      </c>
      <c r="H68" s="60" t="s">
        <v>17</v>
      </c>
      <c r="I68" s="8" t="n">
        <f aca="false">D68*E68*F68*G68</f>
        <v>16335</v>
      </c>
      <c r="J68" s="31" t="n">
        <f aca="false">1.8</f>
        <v>1.8</v>
      </c>
      <c r="K68" s="75" t="s">
        <v>18</v>
      </c>
      <c r="L68" s="28"/>
      <c r="M68" s="81" t="n">
        <v>29179</v>
      </c>
      <c r="N68" s="45"/>
      <c r="O68" s="73" t="n">
        <v>23.6</v>
      </c>
      <c r="P68" s="76" t="s">
        <v>18</v>
      </c>
      <c r="Q68" s="61"/>
    </row>
    <row r="69" customFormat="false" ht="14.25" hidden="false" customHeight="false" outlineLevel="0" collapsed="false">
      <c r="A69" s="14" t="n">
        <v>21</v>
      </c>
      <c r="B69" s="15" t="n">
        <v>809079460</v>
      </c>
      <c r="C69" s="15" t="s">
        <v>21</v>
      </c>
      <c r="D69" s="15" t="n">
        <v>1</v>
      </c>
      <c r="E69" s="15" t="n">
        <v>27</v>
      </c>
      <c r="F69" s="15" t="n">
        <v>27</v>
      </c>
      <c r="G69" s="15" t="n">
        <v>16</v>
      </c>
      <c r="H69" s="15" t="s">
        <v>17</v>
      </c>
      <c r="I69" s="8" t="n">
        <f aca="false">D69*E69*F69*G69</f>
        <v>11664</v>
      </c>
      <c r="J69" s="15" t="n">
        <v>2</v>
      </c>
      <c r="K69" s="15" t="s">
        <v>18</v>
      </c>
      <c r="L69" s="16" t="s">
        <v>22</v>
      </c>
      <c r="M69" s="17" t="n">
        <f aca="false">68*44.5*44.5</f>
        <v>134657</v>
      </c>
      <c r="N69" s="11" t="n">
        <f aca="false">SUM(I69:I73)/M69</f>
        <v>0.677216928937968</v>
      </c>
      <c r="O69" s="12" t="n">
        <v>16</v>
      </c>
      <c r="P69" s="18" t="s">
        <v>18</v>
      </c>
      <c r="Q69" s="19" t="s">
        <v>20</v>
      </c>
    </row>
    <row r="70" customFormat="false" ht="14.25" hidden="false" customHeight="false" outlineLevel="0" collapsed="false">
      <c r="A70" s="14"/>
      <c r="B70" s="20" t="n">
        <v>809079460</v>
      </c>
      <c r="C70" s="20" t="s">
        <v>23</v>
      </c>
      <c r="D70" s="20" t="n">
        <v>1</v>
      </c>
      <c r="E70" s="20" t="n">
        <v>34</v>
      </c>
      <c r="F70" s="20" t="n">
        <v>18</v>
      </c>
      <c r="G70" s="20" t="n">
        <v>39</v>
      </c>
      <c r="H70" s="20" t="s">
        <v>17</v>
      </c>
      <c r="I70" s="8" t="n">
        <f aca="false">D70*E70*F70*G70</f>
        <v>23868</v>
      </c>
      <c r="J70" s="20" t="n">
        <v>4.5</v>
      </c>
      <c r="K70" s="20" t="s">
        <v>18</v>
      </c>
      <c r="L70" s="21" t="s">
        <v>22</v>
      </c>
      <c r="M70" s="17"/>
      <c r="N70" s="11"/>
      <c r="O70" s="12"/>
      <c r="P70" s="22" t="s">
        <v>18</v>
      </c>
      <c r="Q70" s="23" t="s">
        <v>20</v>
      </c>
    </row>
    <row r="71" customFormat="false" ht="14.25" hidden="false" customHeight="false" outlineLevel="0" collapsed="false">
      <c r="A71" s="14"/>
      <c r="B71" s="20" t="n">
        <v>809079460</v>
      </c>
      <c r="C71" s="20" t="s">
        <v>24</v>
      </c>
      <c r="D71" s="20" t="n">
        <v>1</v>
      </c>
      <c r="E71" s="20" t="n">
        <v>20</v>
      </c>
      <c r="F71" s="20" t="n">
        <v>17</v>
      </c>
      <c r="G71" s="20" t="n">
        <v>26</v>
      </c>
      <c r="H71" s="20" t="s">
        <v>17</v>
      </c>
      <c r="I71" s="8" t="n">
        <f aca="false">D71*E71*F71*G71</f>
        <v>8840</v>
      </c>
      <c r="J71" s="20" t="n">
        <v>1</v>
      </c>
      <c r="K71" s="20" t="s">
        <v>18</v>
      </c>
      <c r="L71" s="21" t="s">
        <v>22</v>
      </c>
      <c r="M71" s="17"/>
      <c r="N71" s="11"/>
      <c r="O71" s="12"/>
      <c r="P71" s="22" t="s">
        <v>18</v>
      </c>
      <c r="Q71" s="23" t="s">
        <v>20</v>
      </c>
    </row>
    <row r="72" customFormat="false" ht="14.25" hidden="false" customHeight="false" outlineLevel="0" collapsed="false">
      <c r="A72" s="14"/>
      <c r="B72" s="20" t="n">
        <v>809079460</v>
      </c>
      <c r="C72" s="20" t="s">
        <v>25</v>
      </c>
      <c r="D72" s="20" t="n">
        <v>1</v>
      </c>
      <c r="E72" s="20" t="n">
        <v>28</v>
      </c>
      <c r="F72" s="20" t="n">
        <v>23</v>
      </c>
      <c r="G72" s="20" t="n">
        <v>40</v>
      </c>
      <c r="H72" s="20" t="s">
        <v>17</v>
      </c>
      <c r="I72" s="8" t="n">
        <f aca="false">D72*E72*F72*G72</f>
        <v>25760</v>
      </c>
      <c r="J72" s="20" t="n">
        <v>4</v>
      </c>
      <c r="K72" s="20" t="s">
        <v>18</v>
      </c>
      <c r="L72" s="21" t="s">
        <v>22</v>
      </c>
      <c r="M72" s="17"/>
      <c r="N72" s="11"/>
      <c r="O72" s="12"/>
      <c r="P72" s="22" t="s">
        <v>18</v>
      </c>
      <c r="Q72" s="23" t="s">
        <v>20</v>
      </c>
    </row>
    <row r="73" customFormat="false" ht="14.25" hidden="false" customHeight="false" outlineLevel="0" collapsed="false">
      <c r="A73" s="14"/>
      <c r="B73" s="24" t="n">
        <v>809079460</v>
      </c>
      <c r="C73" s="24" t="s">
        <v>26</v>
      </c>
      <c r="D73" s="24" t="n">
        <v>1</v>
      </c>
      <c r="E73" s="24" t="n">
        <v>30</v>
      </c>
      <c r="F73" s="24" t="n">
        <v>18</v>
      </c>
      <c r="G73" s="24" t="n">
        <v>39</v>
      </c>
      <c r="H73" s="24" t="s">
        <v>17</v>
      </c>
      <c r="I73" s="8" t="n">
        <f aca="false">D73*E73*F73*G73</f>
        <v>21060</v>
      </c>
      <c r="J73" s="24" t="n">
        <v>3</v>
      </c>
      <c r="K73" s="24" t="s">
        <v>18</v>
      </c>
      <c r="L73" s="25" t="s">
        <v>22</v>
      </c>
      <c r="M73" s="17"/>
      <c r="N73" s="11"/>
      <c r="O73" s="12"/>
      <c r="P73" s="26" t="s">
        <v>18</v>
      </c>
      <c r="Q73" s="27" t="s">
        <v>20</v>
      </c>
    </row>
    <row r="74" customFormat="false" ht="14.25" hidden="false" customHeight="false" outlineLevel="0" collapsed="false">
      <c r="A74" s="29" t="n">
        <v>22</v>
      </c>
      <c r="B74" s="30" t="n">
        <v>809099056</v>
      </c>
      <c r="C74" s="31" t="s">
        <v>34</v>
      </c>
      <c r="D74" s="31" t="n">
        <v>1</v>
      </c>
      <c r="E74" s="31" t="n">
        <v>22</v>
      </c>
      <c r="F74" s="31" t="n">
        <v>14</v>
      </c>
      <c r="G74" s="31" t="n">
        <v>20</v>
      </c>
      <c r="H74" s="31" t="s">
        <v>17</v>
      </c>
      <c r="I74" s="8" t="n">
        <f aca="false">D74*E74*F74*G74</f>
        <v>6160</v>
      </c>
      <c r="J74" s="31" t="n">
        <v>1.2</v>
      </c>
      <c r="K74" s="31" t="s">
        <v>18</v>
      </c>
      <c r="L74" s="47" t="s">
        <v>35</v>
      </c>
      <c r="M74" s="48" t="n">
        <v>49400</v>
      </c>
      <c r="N74" s="49" t="n">
        <f aca="false">SUM(I74:I77)/M74</f>
        <v>0.541538461538462</v>
      </c>
      <c r="O74" s="34" t="n">
        <v>10.4</v>
      </c>
      <c r="P74" s="31" t="s">
        <v>18</v>
      </c>
      <c r="Q74" s="35" t="s">
        <v>30</v>
      </c>
    </row>
    <row r="75" customFormat="false" ht="14.25" hidden="false" customHeight="false" outlineLevel="0" collapsed="false">
      <c r="A75" s="29"/>
      <c r="B75" s="30"/>
      <c r="C75" s="36" t="s">
        <v>36</v>
      </c>
      <c r="D75" s="36" t="n">
        <v>1</v>
      </c>
      <c r="E75" s="36" t="n">
        <v>24</v>
      </c>
      <c r="F75" s="36" t="n">
        <v>13</v>
      </c>
      <c r="G75" s="36" t="n">
        <v>5</v>
      </c>
      <c r="H75" s="36" t="s">
        <v>17</v>
      </c>
      <c r="I75" s="8" t="n">
        <f aca="false">D75*E75*F75*G75</f>
        <v>1560</v>
      </c>
      <c r="J75" s="36" t="n">
        <v>0.55</v>
      </c>
      <c r="K75" s="36" t="s">
        <v>18</v>
      </c>
      <c r="L75" s="50"/>
      <c r="M75" s="48"/>
      <c r="N75" s="49"/>
      <c r="O75" s="37"/>
      <c r="P75" s="36" t="s">
        <v>18</v>
      </c>
      <c r="Q75" s="38"/>
    </row>
    <row r="76" customFormat="false" ht="14.25" hidden="false" customHeight="false" outlineLevel="0" collapsed="false">
      <c r="A76" s="29"/>
      <c r="B76" s="30"/>
      <c r="C76" s="36" t="s">
        <v>37</v>
      </c>
      <c r="D76" s="36" t="n">
        <v>1</v>
      </c>
      <c r="E76" s="36" t="n">
        <v>24</v>
      </c>
      <c r="F76" s="36" t="n">
        <v>13</v>
      </c>
      <c r="G76" s="36" t="n">
        <v>5</v>
      </c>
      <c r="H76" s="36" t="s">
        <v>17</v>
      </c>
      <c r="I76" s="8" t="n">
        <f aca="false">D76*E76*F76*G76</f>
        <v>1560</v>
      </c>
      <c r="J76" s="36" t="n">
        <v>0.55</v>
      </c>
      <c r="K76" s="36" t="s">
        <v>18</v>
      </c>
      <c r="L76" s="50"/>
      <c r="M76" s="48"/>
      <c r="N76" s="49"/>
      <c r="O76" s="37"/>
      <c r="P76" s="36" t="s">
        <v>18</v>
      </c>
      <c r="Q76" s="38"/>
    </row>
    <row r="77" customFormat="false" ht="14.25" hidden="false" customHeight="false" outlineLevel="0" collapsed="false">
      <c r="A77" s="29"/>
      <c r="B77" s="30"/>
      <c r="C77" s="39" t="s">
        <v>38</v>
      </c>
      <c r="D77" s="39" t="n">
        <v>1</v>
      </c>
      <c r="E77" s="39" t="n">
        <v>26</v>
      </c>
      <c r="F77" s="39" t="n">
        <v>21</v>
      </c>
      <c r="G77" s="39" t="n">
        <v>32</v>
      </c>
      <c r="H77" s="39" t="s">
        <v>17</v>
      </c>
      <c r="I77" s="8" t="n">
        <f aca="false">D77*E77*F77*G77</f>
        <v>17472</v>
      </c>
      <c r="J77" s="39" t="n">
        <v>6.8</v>
      </c>
      <c r="K77" s="39" t="s">
        <v>18</v>
      </c>
      <c r="L77" s="51"/>
      <c r="M77" s="48"/>
      <c r="N77" s="49"/>
      <c r="O77" s="40"/>
      <c r="P77" s="39" t="s">
        <v>18</v>
      </c>
      <c r="Q77" s="41"/>
    </row>
    <row r="78" customFormat="false" ht="14.25" hidden="false" customHeight="false" outlineLevel="0" collapsed="false">
      <c r="A78" s="29" t="n">
        <v>23</v>
      </c>
      <c r="B78" s="30" t="s">
        <v>51</v>
      </c>
      <c r="C78" s="31" t="n">
        <v>1</v>
      </c>
      <c r="D78" s="31" t="n">
        <v>1</v>
      </c>
      <c r="E78" s="31" t="n">
        <v>33</v>
      </c>
      <c r="F78" s="31" t="n">
        <v>33</v>
      </c>
      <c r="G78" s="31" t="n">
        <v>25</v>
      </c>
      <c r="H78" s="31" t="s">
        <v>17</v>
      </c>
      <c r="I78" s="8" t="n">
        <f aca="false">D78*E78*F78*G78</f>
        <v>27225</v>
      </c>
      <c r="J78" s="31" t="n">
        <v>1.8</v>
      </c>
      <c r="K78" s="71" t="s">
        <v>18</v>
      </c>
      <c r="L78" s="28" t="s">
        <v>60</v>
      </c>
      <c r="M78" s="2" t="n">
        <v>29179</v>
      </c>
      <c r="N78" s="45" t="n">
        <f aca="false">I78/M78</f>
        <v>0.933034031323897</v>
      </c>
      <c r="O78" s="73" t="n">
        <v>15.7</v>
      </c>
      <c r="P78" s="74" t="s">
        <v>18</v>
      </c>
      <c r="Q78" s="58"/>
    </row>
    <row r="79" customFormat="false" ht="14.25" hidden="false" customHeight="false" outlineLevel="0" collapsed="false">
      <c r="A79" s="29"/>
      <c r="B79" s="30"/>
      <c r="C79" s="60" t="n">
        <v>1</v>
      </c>
      <c r="D79" s="60" t="n">
        <v>1</v>
      </c>
      <c r="E79" s="60" t="n">
        <v>33</v>
      </c>
      <c r="F79" s="60" t="n">
        <v>33</v>
      </c>
      <c r="G79" s="60" t="n">
        <v>25</v>
      </c>
      <c r="H79" s="60" t="s">
        <v>17</v>
      </c>
      <c r="I79" s="8" t="n">
        <f aca="false">D79*E79*F79*G79</f>
        <v>27225</v>
      </c>
      <c r="J79" s="60" t="n">
        <v>1.8</v>
      </c>
      <c r="K79" s="75" t="s">
        <v>18</v>
      </c>
      <c r="L79" s="28" t="s">
        <v>60</v>
      </c>
      <c r="M79" s="2" t="n">
        <v>29179</v>
      </c>
      <c r="N79" s="45" t="n">
        <f aca="false">I79/M79</f>
        <v>0.933034031323897</v>
      </c>
      <c r="O79" s="73" t="n">
        <v>23.6</v>
      </c>
      <c r="P79" s="76" t="s">
        <v>18</v>
      </c>
      <c r="Q79" s="61"/>
    </row>
    <row r="80" customFormat="false" ht="14.25" hidden="false" customHeight="false" outlineLevel="0" collapsed="false">
      <c r="A80" s="29"/>
      <c r="B80" s="29"/>
      <c r="C80" s="31" t="n">
        <v>1</v>
      </c>
      <c r="D80" s="31" t="n">
        <v>1</v>
      </c>
      <c r="E80" s="31" t="n">
        <v>33</v>
      </c>
      <c r="F80" s="31" t="n">
        <v>33</v>
      </c>
      <c r="G80" s="31" t="n">
        <v>25</v>
      </c>
      <c r="H80" s="31" t="s">
        <v>17</v>
      </c>
      <c r="I80" s="8" t="n">
        <f aca="false">D80*E80*F80*G80</f>
        <v>27225</v>
      </c>
      <c r="J80" s="31" t="n">
        <v>1.8</v>
      </c>
      <c r="K80" s="71" t="s">
        <v>18</v>
      </c>
      <c r="L80" s="28" t="s">
        <v>60</v>
      </c>
      <c r="M80" s="2" t="n">
        <v>29179</v>
      </c>
      <c r="N80" s="45" t="n">
        <f aca="false">I80/M80</f>
        <v>0.933034031323897</v>
      </c>
      <c r="O80" s="73" t="n">
        <v>15.7</v>
      </c>
      <c r="P80" s="74" t="s">
        <v>18</v>
      </c>
      <c r="Q80" s="58"/>
    </row>
    <row r="81" customFormat="false" ht="14.25" hidden="false" customHeight="false" outlineLevel="0" collapsed="false">
      <c r="A81" s="29"/>
      <c r="B81" s="29"/>
      <c r="C81" s="60" t="n">
        <v>1</v>
      </c>
      <c r="D81" s="60" t="n">
        <v>1</v>
      </c>
      <c r="E81" s="60" t="n">
        <v>33</v>
      </c>
      <c r="F81" s="60" t="n">
        <v>33</v>
      </c>
      <c r="G81" s="60" t="n">
        <v>25</v>
      </c>
      <c r="H81" s="60" t="s">
        <v>17</v>
      </c>
      <c r="I81" s="8" t="n">
        <f aca="false">D81*E81*F81*G81</f>
        <v>27225</v>
      </c>
      <c r="J81" s="60" t="n">
        <v>1.8</v>
      </c>
      <c r="K81" s="75" t="s">
        <v>18</v>
      </c>
      <c r="L81" s="28" t="s">
        <v>60</v>
      </c>
      <c r="M81" s="2" t="n">
        <v>29179</v>
      </c>
      <c r="N81" s="45" t="n">
        <f aca="false">I81/M81</f>
        <v>0.933034031323897</v>
      </c>
      <c r="O81" s="73" t="n">
        <v>23.6</v>
      </c>
      <c r="P81" s="76" t="s">
        <v>18</v>
      </c>
      <c r="Q81" s="61"/>
    </row>
    <row r="82" customFormat="false" ht="14.25" hidden="false" customHeight="false" outlineLevel="0" collapsed="false">
      <c r="A82" s="42" t="n">
        <v>24</v>
      </c>
      <c r="B82" s="34" t="n">
        <v>809094978</v>
      </c>
      <c r="C82" s="43" t="s">
        <v>32</v>
      </c>
      <c r="D82" s="43" t="n">
        <v>120</v>
      </c>
      <c r="E82" s="43" t="n">
        <v>1</v>
      </c>
      <c r="F82" s="43" t="n">
        <v>1</v>
      </c>
      <c r="G82" s="43" t="n">
        <v>1</v>
      </c>
      <c r="H82" s="43" t="s">
        <v>17</v>
      </c>
      <c r="I82" s="8" t="n">
        <f aca="false">D82*E82*F82*G82</f>
        <v>120</v>
      </c>
      <c r="J82" s="43" t="n">
        <v>0.15</v>
      </c>
      <c r="K82" s="43" t="s">
        <v>18</v>
      </c>
      <c r="L82" s="44" t="s">
        <v>33</v>
      </c>
      <c r="M82" s="2" t="n">
        <v>35152</v>
      </c>
      <c r="N82" s="45" t="n">
        <f aca="false">I82/M82</f>
        <v>0.00341374601729631</v>
      </c>
      <c r="O82" s="34" t="n">
        <v>0.8</v>
      </c>
      <c r="P82" s="43" t="s">
        <v>18</v>
      </c>
      <c r="Q82" s="46" t="s">
        <v>30</v>
      </c>
    </row>
    <row r="83" customFormat="false" ht="14.25" hidden="false" customHeight="false" outlineLevel="0" collapsed="false">
      <c r="A83" s="3"/>
      <c r="B83" s="3"/>
      <c r="C83" s="3"/>
      <c r="D83" s="3"/>
      <c r="E83" s="3"/>
      <c r="F83" s="3"/>
      <c r="G83" s="3"/>
      <c r="J83" s="3"/>
      <c r="L83" s="3"/>
      <c r="M83" s="3"/>
      <c r="N83" s="3"/>
      <c r="O83" s="3"/>
      <c r="Q83" s="3"/>
    </row>
    <row r="84" customFormat="false" ht="14.25" hidden="false" customHeight="false" outlineLevel="0" collapsed="false">
      <c r="A84" s="3"/>
      <c r="B84" s="3"/>
      <c r="C84" s="3"/>
      <c r="D84" s="3"/>
      <c r="E84" s="3"/>
      <c r="F84" s="3"/>
      <c r="G84" s="3"/>
      <c r="J84" s="3"/>
      <c r="L84" s="3"/>
      <c r="M84" s="3"/>
      <c r="N84" s="3"/>
      <c r="O84" s="3"/>
      <c r="Q84" s="3"/>
    </row>
    <row r="85" customFormat="false" ht="14.25" hidden="false" customHeight="false" outlineLevel="0" collapsed="false">
      <c r="A85" s="3"/>
      <c r="B85" s="3"/>
      <c r="C85" s="3"/>
      <c r="D85" s="3"/>
      <c r="E85" s="3"/>
      <c r="F85" s="3"/>
      <c r="G85" s="3"/>
      <c r="J85" s="3"/>
      <c r="L85" s="3"/>
      <c r="M85" s="3"/>
      <c r="N85" s="3"/>
      <c r="O85" s="3"/>
      <c r="Q85" s="3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0">
    <mergeCell ref="A3:A7"/>
    <mergeCell ref="M3:M7"/>
    <mergeCell ref="N3:N7"/>
    <mergeCell ref="O3:O7"/>
    <mergeCell ref="A8:A9"/>
    <mergeCell ref="M8:M9"/>
    <mergeCell ref="N8:N9"/>
    <mergeCell ref="A10:A12"/>
    <mergeCell ref="B10:B12"/>
    <mergeCell ref="L10:L12"/>
    <mergeCell ref="M10:M12"/>
    <mergeCell ref="N10:N12"/>
    <mergeCell ref="A15:A18"/>
    <mergeCell ref="B15:B18"/>
    <mergeCell ref="M15:M18"/>
    <mergeCell ref="N15:N18"/>
    <mergeCell ref="A19:A21"/>
    <mergeCell ref="B19:B21"/>
    <mergeCell ref="M19:M21"/>
    <mergeCell ref="N19:N21"/>
    <mergeCell ref="A22:A25"/>
    <mergeCell ref="B22:B25"/>
    <mergeCell ref="M22:M25"/>
    <mergeCell ref="N22:N25"/>
    <mergeCell ref="A26:A30"/>
    <mergeCell ref="B26:B30"/>
    <mergeCell ref="M26:M30"/>
    <mergeCell ref="N26:N30"/>
    <mergeCell ref="A31:A35"/>
    <mergeCell ref="B31:B35"/>
    <mergeCell ref="M31:M34"/>
    <mergeCell ref="N31:N34"/>
    <mergeCell ref="A36:A38"/>
    <mergeCell ref="B36:B38"/>
    <mergeCell ref="M36:M38"/>
    <mergeCell ref="N36:N38"/>
    <mergeCell ref="A40:A41"/>
    <mergeCell ref="B40:B41"/>
    <mergeCell ref="A42:A44"/>
    <mergeCell ref="B42:B44"/>
    <mergeCell ref="M42:M44"/>
    <mergeCell ref="N42:N44"/>
    <mergeCell ref="A47:A52"/>
    <mergeCell ref="B47:B52"/>
    <mergeCell ref="L47:L48"/>
    <mergeCell ref="M47:M48"/>
    <mergeCell ref="N47:N52"/>
    <mergeCell ref="L49:L50"/>
    <mergeCell ref="M49:M50"/>
    <mergeCell ref="A53:A60"/>
    <mergeCell ref="B53:B60"/>
    <mergeCell ref="L53:L54"/>
    <mergeCell ref="M53:M54"/>
    <mergeCell ref="N53:N60"/>
    <mergeCell ref="L55:L56"/>
    <mergeCell ref="M55:M56"/>
    <mergeCell ref="L57:L58"/>
    <mergeCell ref="M57:M58"/>
    <mergeCell ref="A61:A68"/>
    <mergeCell ref="B61:B68"/>
    <mergeCell ref="L61:L62"/>
    <mergeCell ref="M61:M62"/>
    <mergeCell ref="N61:N68"/>
    <mergeCell ref="L63:L64"/>
    <mergeCell ref="M63:M64"/>
    <mergeCell ref="L65:L66"/>
    <mergeCell ref="M65:M66"/>
    <mergeCell ref="L67:L68"/>
    <mergeCell ref="M67:M68"/>
    <mergeCell ref="A69:A73"/>
    <mergeCell ref="M69:M73"/>
    <mergeCell ref="N69:N73"/>
    <mergeCell ref="O69:O73"/>
    <mergeCell ref="A74:A77"/>
    <mergeCell ref="B74:B77"/>
    <mergeCell ref="M74:M77"/>
    <mergeCell ref="N74:N77"/>
    <mergeCell ref="A78:A81"/>
    <mergeCell ref="B78:B81"/>
    <mergeCell ref="N78:N8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4.25" zeroHeight="false" outlineLevelRow="0" outlineLevelCol="0"/>
  <cols>
    <col collapsed="false" customWidth="true" hidden="false" outlineLevel="0" max="1" min="1" style="3" width="6.18"/>
    <col collapsed="false" customWidth="true" hidden="false" outlineLevel="0" max="2" min="2" style="3" width="13.18"/>
    <col collapsed="false" customWidth="true" hidden="false" outlineLevel="0" max="3" min="3" style="3" width="8.18"/>
    <col collapsed="false" customWidth="true" hidden="false" outlineLevel="0" max="4" min="4" style="3" width="5.82"/>
  </cols>
  <sheetData>
    <row r="1" customFormat="false" ht="14.25" hidden="false" customHeight="false" outlineLevel="0" collapsed="false">
      <c r="A1" s="82" t="s">
        <v>61</v>
      </c>
      <c r="B1" s="82"/>
      <c r="C1" s="82"/>
      <c r="D1" s="82"/>
    </row>
    <row r="2" customFormat="false" ht="14.25" hidden="false" customHeight="false" outlineLevel="0" collapsed="false">
      <c r="A2" s="83" t="s">
        <v>0</v>
      </c>
      <c r="B2" s="84" t="s">
        <v>62</v>
      </c>
      <c r="C2" s="84" t="s">
        <v>63</v>
      </c>
      <c r="D2" s="84" t="s">
        <v>64</v>
      </c>
    </row>
    <row r="3" customFormat="false" ht="14.25" hidden="false" customHeight="false" outlineLevel="0" collapsed="false">
      <c r="A3" s="85" t="n">
        <v>1</v>
      </c>
      <c r="B3" s="86" t="s">
        <v>65</v>
      </c>
      <c r="C3" s="86" t="s">
        <v>66</v>
      </c>
      <c r="D3" s="86" t="s">
        <v>65</v>
      </c>
    </row>
    <row r="4" customFormat="false" ht="14.25" hidden="false" customHeight="false" outlineLevel="0" collapsed="false">
      <c r="A4" s="87" t="n">
        <v>2</v>
      </c>
      <c r="B4" s="88" t="s">
        <v>66</v>
      </c>
      <c r="C4" s="88" t="s">
        <v>67</v>
      </c>
      <c r="D4" s="88" t="s">
        <v>66</v>
      </c>
    </row>
    <row r="5" customFormat="false" ht="14.25" hidden="false" customHeight="false" outlineLevel="0" collapsed="false">
      <c r="A5" s="87" t="n">
        <v>3</v>
      </c>
      <c r="B5" s="88" t="s">
        <v>67</v>
      </c>
      <c r="C5" s="88" t="s">
        <v>66</v>
      </c>
      <c r="D5" s="88" t="s">
        <v>65</v>
      </c>
    </row>
    <row r="6" customFormat="false" ht="14.25" hidden="false" customHeight="false" outlineLevel="0" collapsed="false">
      <c r="A6" s="87" t="n">
        <v>4</v>
      </c>
      <c r="B6" s="88" t="s">
        <v>66</v>
      </c>
      <c r="C6" s="88" t="s">
        <v>67</v>
      </c>
      <c r="D6" s="88" t="s">
        <v>67</v>
      </c>
    </row>
    <row r="7" customFormat="false" ht="14.25" hidden="false" customHeight="false" outlineLevel="0" collapsed="false">
      <c r="A7" s="87" t="n">
        <v>5</v>
      </c>
      <c r="B7" s="88" t="s">
        <v>67</v>
      </c>
      <c r="C7" s="88" t="s">
        <v>65</v>
      </c>
      <c r="D7" s="88" t="s">
        <v>67</v>
      </c>
    </row>
    <row r="8" customFormat="false" ht="14.25" hidden="false" customHeight="false" outlineLevel="0" collapsed="false">
      <c r="A8" s="85" t="n">
        <v>6</v>
      </c>
      <c r="B8" s="86" t="s">
        <v>68</v>
      </c>
      <c r="C8" s="86" t="s">
        <v>67</v>
      </c>
      <c r="D8" s="86" t="s">
        <v>65</v>
      </c>
    </row>
    <row r="9" customFormat="false" ht="14.25" hidden="false" customHeight="false" outlineLevel="0" collapsed="false">
      <c r="A9" s="87" t="n">
        <v>7</v>
      </c>
      <c r="B9" s="88" t="s">
        <v>67</v>
      </c>
      <c r="C9" s="88" t="s">
        <v>67</v>
      </c>
      <c r="D9" s="88" t="s">
        <v>67</v>
      </c>
    </row>
    <row r="10" customFormat="false" ht="14.25" hidden="false" customHeight="false" outlineLevel="0" collapsed="false">
      <c r="A10" s="85" t="n">
        <v>8</v>
      </c>
      <c r="B10" s="86" t="s">
        <v>65</v>
      </c>
      <c r="C10" s="86" t="s">
        <v>65</v>
      </c>
      <c r="D10" s="86" t="s">
        <v>67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8" activeCellId="0" sqref="G38"/>
    </sheetView>
  </sheetViews>
  <sheetFormatPr defaultColWidth="8.6796875" defaultRowHeight="14.25" zeroHeight="false" outlineLevelRow="0" outlineLevelCol="0"/>
  <cols>
    <col collapsed="false" customWidth="true" hidden="false" outlineLevel="0" max="1" min="1" style="3" width="45.54"/>
    <col collapsed="false" customWidth="true" hidden="false" outlineLevel="0" max="4" min="2" style="3" width="5.18"/>
  </cols>
  <sheetData>
    <row r="1" customFormat="false" ht="21" hidden="false" customHeight="false" outlineLevel="0" collapsed="false">
      <c r="A1" s="89" t="s">
        <v>69</v>
      </c>
      <c r="B1" s="4"/>
      <c r="C1" s="4"/>
      <c r="D1" s="4"/>
    </row>
    <row r="2" customFormat="false" ht="14.25" hidden="false" customHeight="false" outlineLevel="0" collapsed="false">
      <c r="A2" s="90"/>
      <c r="B2" s="91"/>
      <c r="C2" s="91"/>
      <c r="D2" s="22"/>
    </row>
    <row r="3" customFormat="false" ht="14.25" hidden="false" customHeight="false" outlineLevel="0" collapsed="false">
      <c r="A3" s="92" t="s">
        <v>70</v>
      </c>
      <c r="B3" s="93" t="s">
        <v>71</v>
      </c>
      <c r="C3" s="93" t="s">
        <v>72</v>
      </c>
      <c r="D3" s="93" t="s">
        <v>73</v>
      </c>
      <c r="E3" s="94" t="s">
        <v>74</v>
      </c>
    </row>
    <row r="4" customFormat="false" ht="14.25" hidden="false" customHeight="false" outlineLevel="0" collapsed="false">
      <c r="A4" s="9" t="s">
        <v>55</v>
      </c>
      <c r="B4" s="95" t="n">
        <v>825</v>
      </c>
      <c r="C4" s="95" t="n">
        <v>570</v>
      </c>
      <c r="D4" s="95" t="n">
        <v>520</v>
      </c>
      <c r="E4" s="96" t="n">
        <f aca="false">B4*C4*D4/1000</f>
        <v>244530</v>
      </c>
    </row>
    <row r="5" customFormat="false" ht="14.25" hidden="false" customHeight="false" outlineLevel="0" collapsed="false">
      <c r="A5" s="9" t="s">
        <v>53</v>
      </c>
      <c r="B5" s="95" t="n">
        <v>590</v>
      </c>
      <c r="C5" s="95" t="n">
        <v>465</v>
      </c>
      <c r="D5" s="95" t="n">
        <v>535</v>
      </c>
      <c r="E5" s="96" t="n">
        <f aca="false">B5*C5*D5/1000</f>
        <v>146777.25</v>
      </c>
    </row>
    <row r="6" customFormat="false" ht="14.25" hidden="false" customHeight="false" outlineLevel="0" collapsed="false">
      <c r="A6" s="9" t="s">
        <v>75</v>
      </c>
      <c r="B6" s="95" t="n">
        <v>900</v>
      </c>
      <c r="C6" s="95" t="n">
        <v>400</v>
      </c>
      <c r="D6" s="95" t="n">
        <v>400</v>
      </c>
      <c r="E6" s="96" t="n">
        <f aca="false">B6*C6*D6/1000</f>
        <v>144000</v>
      </c>
    </row>
    <row r="7" customFormat="false" ht="14.25" hidden="false" customHeight="false" outlineLevel="0" collapsed="false">
      <c r="A7" s="9" t="s">
        <v>22</v>
      </c>
      <c r="B7" s="95" t="n">
        <v>680</v>
      </c>
      <c r="C7" s="95" t="n">
        <v>445</v>
      </c>
      <c r="D7" s="95" t="n">
        <v>445</v>
      </c>
      <c r="E7" s="96" t="n">
        <f aca="false">B7*C7*D7/1000</f>
        <v>134657</v>
      </c>
    </row>
    <row r="8" customFormat="false" ht="14.25" hidden="false" customHeight="false" outlineLevel="0" collapsed="false">
      <c r="A8" s="9" t="s">
        <v>45</v>
      </c>
      <c r="B8" s="95" t="n">
        <v>590</v>
      </c>
      <c r="C8" s="95" t="n">
        <v>380</v>
      </c>
      <c r="D8" s="95" t="n">
        <v>380</v>
      </c>
      <c r="E8" s="96" t="n">
        <f aca="false">B8*C8*D8/1000</f>
        <v>85196</v>
      </c>
    </row>
    <row r="9" customFormat="false" ht="14.25" hidden="false" customHeight="false" outlineLevel="0" collapsed="false">
      <c r="A9" s="9" t="s">
        <v>35</v>
      </c>
      <c r="B9" s="95" t="n">
        <v>500</v>
      </c>
      <c r="C9" s="95" t="n">
        <v>380</v>
      </c>
      <c r="D9" s="95" t="n">
        <v>260</v>
      </c>
      <c r="E9" s="96" t="n">
        <f aca="false">B9*C9*D9/1000</f>
        <v>49400</v>
      </c>
    </row>
    <row r="10" customFormat="false" ht="14.25" hidden="false" customHeight="false" outlineLevel="0" collapsed="false">
      <c r="A10" s="9" t="s">
        <v>76</v>
      </c>
      <c r="B10" s="95" t="n">
        <v>360</v>
      </c>
      <c r="C10" s="95" t="n">
        <v>360</v>
      </c>
      <c r="D10" s="95" t="n">
        <v>380</v>
      </c>
      <c r="E10" s="96" t="n">
        <f aca="false">B10*C10*D10/1000</f>
        <v>49248</v>
      </c>
    </row>
    <row r="11" customFormat="false" ht="14.25" hidden="false" customHeight="false" outlineLevel="0" collapsed="false">
      <c r="A11" s="9" t="s">
        <v>58</v>
      </c>
      <c r="B11" s="95" t="n">
        <v>390</v>
      </c>
      <c r="C11" s="95" t="n">
        <v>390</v>
      </c>
      <c r="D11" s="95" t="n">
        <v>315</v>
      </c>
      <c r="E11" s="96" t="n">
        <f aca="false">B11*C11*D11/1000</f>
        <v>47911.5</v>
      </c>
    </row>
    <row r="12" customFormat="false" ht="14.25" hidden="false" customHeight="false" outlineLevel="0" collapsed="false">
      <c r="A12" s="9" t="s">
        <v>77</v>
      </c>
      <c r="B12" s="95" t="n">
        <v>290</v>
      </c>
      <c r="C12" s="95" t="n">
        <v>290</v>
      </c>
      <c r="D12" s="95" t="n">
        <v>500</v>
      </c>
      <c r="E12" s="96" t="n">
        <f aca="false">B12*C12*D12/1000</f>
        <v>42050</v>
      </c>
    </row>
    <row r="13" customFormat="false" ht="14.25" hidden="false" customHeight="false" outlineLevel="0" collapsed="false">
      <c r="A13" s="9" t="s">
        <v>78</v>
      </c>
      <c r="B13" s="95" t="n">
        <v>450</v>
      </c>
      <c r="C13" s="95" t="n">
        <v>450</v>
      </c>
      <c r="D13" s="95" t="n">
        <v>190</v>
      </c>
      <c r="E13" s="96" t="n">
        <f aca="false">B13*C13*D13/1000</f>
        <v>38475</v>
      </c>
    </row>
    <row r="14" customFormat="false" ht="14.25" hidden="false" customHeight="false" outlineLevel="0" collapsed="false">
      <c r="A14" s="9" t="s">
        <v>50</v>
      </c>
      <c r="B14" s="95" t="n">
        <v>420</v>
      </c>
      <c r="C14" s="95" t="n">
        <v>265</v>
      </c>
      <c r="D14" s="95" t="n">
        <v>317</v>
      </c>
      <c r="E14" s="96" t="n">
        <f aca="false">B14*C14*D14/1000</f>
        <v>35282.1</v>
      </c>
    </row>
    <row r="15" customFormat="false" ht="14.25" hidden="false" customHeight="false" outlineLevel="0" collapsed="false">
      <c r="A15" s="9" t="s">
        <v>48</v>
      </c>
      <c r="B15" s="95" t="n">
        <v>520</v>
      </c>
      <c r="C15" s="95" t="n">
        <v>260</v>
      </c>
      <c r="D15" s="95" t="n">
        <v>260</v>
      </c>
      <c r="E15" s="96" t="n">
        <f aca="false">B15*C15*D15/1000</f>
        <v>35152</v>
      </c>
    </row>
    <row r="16" customFormat="false" ht="14.25" hidden="false" customHeight="false" outlineLevel="0" collapsed="false">
      <c r="A16" s="9" t="s">
        <v>79</v>
      </c>
      <c r="B16" s="95" t="n">
        <v>460</v>
      </c>
      <c r="C16" s="95" t="n">
        <v>215</v>
      </c>
      <c r="D16" s="95" t="n">
        <v>325</v>
      </c>
      <c r="E16" s="96" t="n">
        <f aca="false">B16*C16*D16/1000</f>
        <v>32142.5</v>
      </c>
    </row>
    <row r="17" customFormat="false" ht="14.25" hidden="false" customHeight="false" outlineLevel="0" collapsed="false">
      <c r="A17" s="9" t="s">
        <v>80</v>
      </c>
      <c r="B17" s="95" t="n">
        <v>413</v>
      </c>
      <c r="C17" s="95" t="n">
        <v>413</v>
      </c>
      <c r="D17" s="95" t="n">
        <v>185</v>
      </c>
      <c r="E17" s="96" t="n">
        <f aca="false">B17*C17*D17/1000</f>
        <v>31555.265</v>
      </c>
    </row>
    <row r="18" customFormat="false" ht="14.25" hidden="false" customHeight="false" outlineLevel="0" collapsed="false">
      <c r="A18" s="9" t="s">
        <v>81</v>
      </c>
      <c r="B18" s="95" t="n">
        <v>390</v>
      </c>
      <c r="C18" s="95" t="n">
        <v>390</v>
      </c>
      <c r="D18" s="95" t="n">
        <v>205</v>
      </c>
      <c r="E18" s="96" t="n">
        <f aca="false">B18*C18*D18/1000</f>
        <v>31180.5</v>
      </c>
    </row>
    <row r="19" customFormat="false" ht="14.25" hidden="false" customHeight="false" outlineLevel="0" collapsed="false">
      <c r="A19" s="9" t="s">
        <v>82</v>
      </c>
      <c r="B19" s="95" t="n">
        <v>310</v>
      </c>
      <c r="C19" s="95" t="n">
        <v>310</v>
      </c>
      <c r="D19" s="95" t="n">
        <v>305</v>
      </c>
      <c r="E19" s="96" t="n">
        <f aca="false">B19*C19*D19/1000</f>
        <v>29310.5</v>
      </c>
    </row>
    <row r="20" customFormat="false" ht="14.25" hidden="false" customHeight="false" outlineLevel="0" collapsed="false">
      <c r="A20" s="9" t="s">
        <v>60</v>
      </c>
      <c r="B20" s="95" t="n">
        <v>335</v>
      </c>
      <c r="C20" s="95" t="n">
        <v>335</v>
      </c>
      <c r="D20" s="95" t="n">
        <v>260</v>
      </c>
      <c r="E20" s="96" t="n">
        <f aca="false">B20*C20*D20/1000</f>
        <v>29178.5</v>
      </c>
    </row>
    <row r="21" customFormat="false" ht="14.25" hidden="false" customHeight="false" outlineLevel="0" collapsed="false">
      <c r="A21" s="9" t="s">
        <v>83</v>
      </c>
      <c r="B21" s="95" t="n">
        <v>420</v>
      </c>
      <c r="C21" s="95" t="n">
        <v>420</v>
      </c>
      <c r="D21" s="95" t="n">
        <v>163</v>
      </c>
      <c r="E21" s="96" t="n">
        <f aca="false">B21*C21*D21/1000</f>
        <v>28753.2</v>
      </c>
    </row>
    <row r="22" customFormat="false" ht="14.25" hidden="false" customHeight="false" outlineLevel="0" collapsed="false">
      <c r="A22" s="9" t="s">
        <v>84</v>
      </c>
      <c r="B22" s="95" t="n">
        <v>420</v>
      </c>
      <c r="C22" s="95" t="n">
        <v>345</v>
      </c>
      <c r="D22" s="95" t="n">
        <v>197</v>
      </c>
      <c r="E22" s="96" t="n">
        <f aca="false">B22*C22*D22/1000</f>
        <v>28545.3</v>
      </c>
    </row>
    <row r="23" customFormat="false" ht="14.25" hidden="false" customHeight="false" outlineLevel="0" collapsed="false">
      <c r="A23" s="9" t="s">
        <v>85</v>
      </c>
      <c r="B23" s="95" t="n">
        <v>350</v>
      </c>
      <c r="C23" s="95" t="n">
        <v>350</v>
      </c>
      <c r="D23" s="95" t="n">
        <v>230</v>
      </c>
      <c r="E23" s="96" t="n">
        <f aca="false">B23*C23*D23/1000</f>
        <v>28175</v>
      </c>
    </row>
    <row r="24" customFormat="false" ht="14.25" hidden="false" customHeight="false" outlineLevel="0" collapsed="false">
      <c r="A24" s="9" t="s">
        <v>86</v>
      </c>
      <c r="B24" s="95" t="n">
        <v>395</v>
      </c>
      <c r="C24" s="95" t="n">
        <v>395</v>
      </c>
      <c r="D24" s="95" t="n">
        <v>180</v>
      </c>
      <c r="E24" s="96" t="n">
        <f aca="false">B24*C24*D24/1000</f>
        <v>28084.5</v>
      </c>
    </row>
    <row r="25" customFormat="false" ht="14.25" hidden="false" customHeight="false" outlineLevel="0" collapsed="false">
      <c r="A25" s="9" t="s">
        <v>87</v>
      </c>
      <c r="B25" s="95" t="n">
        <v>293</v>
      </c>
      <c r="C25" s="95" t="n">
        <v>293</v>
      </c>
      <c r="D25" s="95" t="n">
        <v>325</v>
      </c>
      <c r="E25" s="96" t="n">
        <f aca="false">B25*C25*D25/1000</f>
        <v>27900.925</v>
      </c>
    </row>
    <row r="26" customFormat="false" ht="14.25" hidden="false" customHeight="false" outlineLevel="0" collapsed="false">
      <c r="A26" s="9" t="s">
        <v>88</v>
      </c>
      <c r="B26" s="95" t="n">
        <v>450</v>
      </c>
      <c r="C26" s="95" t="n">
        <v>240</v>
      </c>
      <c r="D26" s="95" t="n">
        <v>240</v>
      </c>
      <c r="E26" s="96" t="n">
        <f aca="false">B26*C26*D26/1000</f>
        <v>25920</v>
      </c>
    </row>
    <row r="27" customFormat="false" ht="14.25" hidden="false" customHeight="false" outlineLevel="0" collapsed="false">
      <c r="A27" s="9" t="s">
        <v>59</v>
      </c>
      <c r="B27" s="95" t="n">
        <v>350</v>
      </c>
      <c r="C27" s="95" t="n">
        <v>350</v>
      </c>
      <c r="D27" s="95" t="n">
        <v>205</v>
      </c>
      <c r="E27" s="96" t="n">
        <f aca="false">B27*C27*D27/1000</f>
        <v>25112.5</v>
      </c>
    </row>
    <row r="28" customFormat="false" ht="14.25" hidden="false" customHeight="false" outlineLevel="0" collapsed="false">
      <c r="A28" s="9" t="s">
        <v>89</v>
      </c>
      <c r="B28" s="95" t="n">
        <v>370</v>
      </c>
      <c r="C28" s="95" t="n">
        <v>370</v>
      </c>
      <c r="D28" s="95" t="n">
        <v>180</v>
      </c>
      <c r="E28" s="96" t="n">
        <f aca="false">B28*C28*D28/1000</f>
        <v>24642</v>
      </c>
    </row>
    <row r="29" customFormat="false" ht="14.25" hidden="false" customHeight="false" outlineLevel="0" collapsed="false">
      <c r="A29" s="9" t="s">
        <v>90</v>
      </c>
      <c r="B29" s="95" t="n">
        <v>320</v>
      </c>
      <c r="C29" s="95" t="n">
        <v>320</v>
      </c>
      <c r="D29" s="95" t="n">
        <v>230</v>
      </c>
      <c r="E29" s="96" t="n">
        <f aca="false">B29*C29*D29/1000</f>
        <v>23552</v>
      </c>
    </row>
    <row r="30" customFormat="false" ht="14.25" hidden="false" customHeight="false" outlineLevel="0" collapsed="false">
      <c r="A30" s="9" t="s">
        <v>91</v>
      </c>
      <c r="B30" s="95" t="n">
        <v>310</v>
      </c>
      <c r="C30" s="95" t="n">
        <v>220</v>
      </c>
      <c r="D30" s="95" t="n">
        <v>325</v>
      </c>
      <c r="E30" s="96" t="n">
        <f aca="false">B30*C30*D30/1000</f>
        <v>22165</v>
      </c>
    </row>
    <row r="31" customFormat="false" ht="14.25" hidden="false" customHeight="false" outlineLevel="0" collapsed="false">
      <c r="A31" s="9" t="s">
        <v>92</v>
      </c>
      <c r="B31" s="95" t="n">
        <v>275</v>
      </c>
      <c r="C31" s="95" t="n">
        <v>275</v>
      </c>
      <c r="D31" s="95" t="n">
        <v>280</v>
      </c>
      <c r="E31" s="96" t="n">
        <f aca="false">B31*C31*D31/1000</f>
        <v>21175</v>
      </c>
    </row>
    <row r="32" customFormat="false" ht="14.25" hidden="false" customHeight="false" outlineLevel="0" collapsed="false">
      <c r="A32" s="9" t="s">
        <v>93</v>
      </c>
      <c r="B32" s="95" t="n">
        <v>365</v>
      </c>
      <c r="C32" s="95" t="n">
        <v>365</v>
      </c>
      <c r="D32" s="95" t="n">
        <v>140</v>
      </c>
      <c r="E32" s="96" t="n">
        <f aca="false">B32*C32*D32/1000</f>
        <v>18651.5</v>
      </c>
    </row>
    <row r="33" customFormat="false" ht="14.25" hidden="false" customHeight="false" outlineLevel="0" collapsed="false">
      <c r="A33" s="9" t="s">
        <v>28</v>
      </c>
      <c r="B33" s="95" t="n">
        <v>275</v>
      </c>
      <c r="C33" s="95" t="n">
        <v>230</v>
      </c>
      <c r="D33" s="95" t="n">
        <v>240</v>
      </c>
      <c r="E33" s="96" t="n">
        <f aca="false">B33*C33*D33/1000</f>
        <v>15180</v>
      </c>
    </row>
    <row r="34" customFormat="false" ht="14.25" hidden="false" customHeight="false" outlineLevel="0" collapsed="false">
      <c r="A34" s="9" t="s">
        <v>43</v>
      </c>
      <c r="B34" s="95" t="n">
        <v>205</v>
      </c>
      <c r="C34" s="95" t="n">
        <v>205</v>
      </c>
      <c r="D34" s="95" t="n">
        <v>250</v>
      </c>
      <c r="E34" s="96" t="n">
        <f aca="false">B34*C34*D34/1000</f>
        <v>10506.25</v>
      </c>
    </row>
    <row r="35" customFormat="false" ht="14.25" hidden="false" customHeight="false" outlineLevel="0" collapsed="false">
      <c r="A35" s="9" t="s">
        <v>94</v>
      </c>
      <c r="B35" s="95" t="n">
        <v>205</v>
      </c>
      <c r="C35" s="95" t="n">
        <v>205</v>
      </c>
      <c r="D35" s="95" t="n">
        <v>250</v>
      </c>
      <c r="E35" s="96" t="n">
        <f aca="false">B35*C35*D35/1000</f>
        <v>10506.25</v>
      </c>
    </row>
    <row r="36" customFormat="false" ht="14.25" hidden="false" customHeight="false" outlineLevel="0" collapsed="false">
      <c r="A36" s="9" t="s">
        <v>95</v>
      </c>
      <c r="B36" s="95" t="n">
        <v>205</v>
      </c>
      <c r="C36" s="95" t="n">
        <v>205</v>
      </c>
      <c r="D36" s="95" t="n">
        <v>250</v>
      </c>
      <c r="E36" s="96" t="n">
        <f aca="false">B36*C36*D36/1000</f>
        <v>10506.25</v>
      </c>
    </row>
    <row r="37" customFormat="false" ht="14.25" hidden="false" customHeight="false" outlineLevel="0" collapsed="false">
      <c r="A37" s="9" t="s">
        <v>19</v>
      </c>
      <c r="B37" s="95" t="n">
        <v>257</v>
      </c>
      <c r="C37" s="95" t="n">
        <v>205</v>
      </c>
      <c r="D37" s="95" t="n">
        <v>150</v>
      </c>
      <c r="E37" s="96" t="n">
        <f aca="false">B37*C37*D37/1000</f>
        <v>7902.75</v>
      </c>
    </row>
    <row r="38" customFormat="false" ht="14.25" hidden="false" customHeight="false" outlineLevel="0" collapsed="false">
      <c r="A38" s="9" t="s">
        <v>57</v>
      </c>
      <c r="B38" s="95" t="n">
        <v>160</v>
      </c>
      <c r="C38" s="95" t="n">
        <v>200</v>
      </c>
      <c r="D38" s="95" t="n">
        <v>260</v>
      </c>
      <c r="E38" s="96" t="n">
        <f aca="false">B38*C38*D38/1000</f>
        <v>8320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2EDA4BA60BB43AA0D5C6452A91821" ma:contentTypeVersion="6" ma:contentTypeDescription="Create a new document." ma:contentTypeScope="" ma:versionID="5afa2791e7e3dd1f0c8e01c54979495f">
  <xsd:schema xmlns:xsd="http://www.w3.org/2001/XMLSchema" xmlns:xs="http://www.w3.org/2001/XMLSchema" xmlns:p="http://schemas.microsoft.com/office/2006/metadata/properties" xmlns:ns2="92cfe005-489b-4a00-b2c0-d2e4910a6eb6" xmlns:ns3="b6f717a0-0c0c-421e-9c1e-214905636a00" targetNamespace="http://schemas.microsoft.com/office/2006/metadata/properties" ma:root="true" ma:fieldsID="218df3e1bbe869b93dc3247440e4718b" ns2:_="" ns3:_="">
    <xsd:import namespace="92cfe005-489b-4a00-b2c0-d2e4910a6eb6"/>
    <xsd:import namespace="b6f717a0-0c0c-421e-9c1e-214905636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fe005-489b-4a00-b2c0-d2e4910a6e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717a0-0c0c-421e-9c1e-214905636a0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C9B561-3D1E-4E3F-8EC1-7BE8773C27F8}"/>
</file>

<file path=customXml/itemProps2.xml><?xml version="1.0" encoding="utf-8"?>
<ds:datastoreItem xmlns:ds="http://schemas.openxmlformats.org/officeDocument/2006/customXml" ds:itemID="{A68A013F-2E2A-48FA-B2A4-3A17F561ED48}"/>
</file>

<file path=customXml/itemProps3.xml><?xml version="1.0" encoding="utf-8"?>
<ds:datastoreItem xmlns:ds="http://schemas.openxmlformats.org/officeDocument/2006/customXml" ds:itemID="{6EEA0DE1-F2B0-4109-9304-E2A4E46A117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457</TotalTime>
  <Application>LibreOffice/24.2.4.2$Linux_X86_64 LibreOffice_project/420$Build-2</Application>
  <AppVersion>15.0000</AppVersion>
  <Company>Thermo Fisher Scientific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2024-02-08T11:08:57Z</dcterms:created>
  <dc:creator>Choudhary, Omkar</dc:creator>
  <dc:description/>
  <dc:language>en-US</dc:language>
  <cp:lastModifiedBy/>
  <dcterms:modified xsi:type="dcterms:W3CDTF">2024-07-25T13:15:59Z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0x0101003BB2EDA4BA60BB43AA0D5C6452A91821</vt:lpwstr>
  </property>
</Properties>
</file>